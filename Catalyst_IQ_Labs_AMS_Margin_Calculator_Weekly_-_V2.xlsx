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in Calculator" sheetId="1" state="visible" r:id="rId3"/>
    <sheet name="Tier Comparison" sheetId="2" state="visible" r:id="rId4"/>
    <sheet name="Client Portfolio" sheetId="3" state="visible" r:id="rId5"/>
  </sheets>
  <definedNames>
    <definedName function="false" hidden="false" localSheetId="0" name="_xlnm.Print_Area" vbProcedure="false">'Margin Calculator'!$A$1:$H$38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Your figure from V1 ($105/hr).</t>
        </r>
      </text>
    </comment>
    <comment ref="B10" authorId="0">
      <text>
        <r>
          <rPr>
            <sz val="10"/>
            <rFont val="Arial"/>
            <family val="2"/>
          </rPr>
          <t xml:space="preserve">Months are treated as Billable weeks ÷ 12 (52 weeks ≈ 4.33 weeks/month).</t>
        </r>
      </text>
    </comment>
    <comment ref="H6" authorId="0">
      <text>
        <r>
          <rPr>
            <sz val="10"/>
            <rFont val="Arial"/>
            <family val="2"/>
          </rPr>
          <t xml:space="preserve">Client rates per tier — your figures from V1.</t>
        </r>
      </text>
    </comment>
  </commentList>
</comments>
</file>

<file path=xl/sharedStrings.xml><?xml version="1.0" encoding="utf-8"?>
<sst xmlns="http://schemas.openxmlformats.org/spreadsheetml/2006/main" count="84" uniqueCount="75">
  <si>
    <t xml:space="preserve">CATALYST IQ LABS  |  AMS MARGIN CALCULATOR</t>
  </si>
  <si>
    <t xml:space="preserve">Edit the YELLOW cells only. Everything else calculates automatically. Weekly hours pick the billing rate from the tier table on the right.</t>
  </si>
  <si>
    <t xml:space="preserve">INPUTS</t>
  </si>
  <si>
    <t xml:space="preserve">RATE TIERS</t>
  </si>
  <si>
    <t xml:space="preserve">Weekly contracted hours</t>
  </si>
  <si>
    <t xml:space="preserve">Hours per week the client's subscription covers. Must fall inside the tier table (5–40).</t>
  </si>
  <si>
    <t xml:space="preserve">Tier</t>
  </si>
  <si>
    <t xml:space="preserve">Min hrs</t>
  </si>
  <si>
    <t xml:space="preserve">Max hrs</t>
  </si>
  <si>
    <t xml:space="preserve">Client $/hr</t>
  </si>
  <si>
    <t xml:space="preserve">1099 consultant cost ($/hr)</t>
  </si>
  <si>
    <t xml:space="preserve">What you pay the contractor per hour worked.</t>
  </si>
  <si>
    <t xml:space="preserve">Lite Engagement</t>
  </si>
  <si>
    <t xml:space="preserve">Overhead allocation ($/hr)</t>
  </si>
  <si>
    <t xml:space="preserve">Your share of tools, insurance, admin, etc. per hour delivered. Leave $0 to ignore.</t>
  </si>
  <si>
    <t xml:space="preserve">Part-Time</t>
  </si>
  <si>
    <t xml:space="preserve">Target contribution margin</t>
  </si>
  <si>
    <t xml:space="preserve">The minimum margin you want to keep after consultant cost and overhead.</t>
  </si>
  <si>
    <t xml:space="preserve">Full-Time</t>
  </si>
  <si>
    <t xml:space="preserve">Hours actually delivered (% of contracted)</t>
  </si>
  <si>
    <t xml:space="preserve">100% = consultant works exactly the contracted hours. Set 110% to test a client who runs 10% over.</t>
  </si>
  <si>
    <t xml:space="preserve">A tier starts at its Min hrs and runs until the next tier's Min. Keep tiers in order, smallest first.</t>
  </si>
  <si>
    <t xml:space="preserve">Billable weeks per year</t>
  </si>
  <si>
    <t xml:space="preserve">52 = bill every week. Use ~48 if the subscription pauses for holidays.</t>
  </si>
  <si>
    <t xml:space="preserve">Round subscription quote up to nearest</t>
  </si>
  <si>
    <t xml:space="preserve">Rounds the client-facing monthly price to a clean number. Set $0 for no rounding.</t>
  </si>
  <si>
    <t xml:space="preserve">PRICING (AUTOMATIC)</t>
  </si>
  <si>
    <t xml:space="preserve">Tier selected</t>
  </si>
  <si>
    <t xml:space="preserve">Client billing rate ($/hr)</t>
  </si>
  <si>
    <t xml:space="preserve">Hours check</t>
  </si>
  <si>
    <t xml:space="preserve">MONTHLY RESULTS</t>
  </si>
  <si>
    <t xml:space="preserve">Monthly client revenue</t>
  </si>
  <si>
    <t xml:space="preserve">Billing rate × contracted hours × weeks per month.</t>
  </si>
  <si>
    <t xml:space="preserve">Suggested monthly subscription quote</t>
  </si>
  <si>
    <t xml:space="preserve">The flat monthly price to put in front of the client — no hours shown.</t>
  </si>
  <si>
    <t xml:space="preserve">Monthly hours delivered (internal only)</t>
  </si>
  <si>
    <t xml:space="preserve">Monthly 1099 delivery expense</t>
  </si>
  <si>
    <t xml:space="preserve">Monthly overhead allocation</t>
  </si>
  <si>
    <t xml:space="preserve">Direct gross profit</t>
  </si>
  <si>
    <t xml:space="preserve">Direct gross margin</t>
  </si>
  <si>
    <t xml:space="preserve">Contribution after overhead</t>
  </si>
  <si>
    <t xml:space="preserve">Contribution margin</t>
  </si>
  <si>
    <t xml:space="preserve">Target check</t>
  </si>
  <si>
    <t xml:space="preserve">ANNUALIZED</t>
  </si>
  <si>
    <t xml:space="preserve">Annual revenue</t>
  </si>
  <si>
    <t xml:space="preserve">Annual contribution</t>
  </si>
  <si>
    <t xml:space="preserve">PRICING GUARDRAILS</t>
  </si>
  <si>
    <t xml:space="preserve">Minimum billing rate to hit target ($/hr)</t>
  </si>
  <si>
    <t xml:space="preserve">Lowest rate you could charge at these hours and still hit your target margin.</t>
  </si>
  <si>
    <t xml:space="preserve">Price headroom above minimum ($/hr)</t>
  </si>
  <si>
    <t xml:space="preserve">How much you could discount before dropping below target. Red = already below.</t>
  </si>
  <si>
    <t xml:space="preserve">Max hours/week you can deliver and still hit target</t>
  </si>
  <si>
    <t xml:space="preserve">If the consultant works more than this, the client becomes less profitable than your target.</t>
  </si>
  <si>
    <t xml:space="preserve">Overrun buffer (hours/week)</t>
  </si>
  <si>
    <t xml:space="preserve">Extra hours per week the client can use before you fall below target.</t>
  </si>
  <si>
    <t xml:space="preserve">TIER COMPARISON</t>
  </si>
  <si>
    <t xml:space="preserve">Edit the yellow hours in column A. Cost, overhead, % delivered and target all come from the Margin Calculator tab, so this table always matches it.</t>
  </si>
  <si>
    <t xml:space="preserve">Weekly hours</t>
  </si>
  <si>
    <t xml:space="preserve">Sell rate ($/hr)</t>
  </si>
  <si>
    <t xml:space="preserve">Revenue ($/mo)</t>
  </si>
  <si>
    <t xml:space="preserve">1099 cost ($/mo)</t>
  </si>
  <si>
    <t xml:space="preserve">Overhead ($/mo)</t>
  </si>
  <si>
    <t xml:space="preserve">Contribution ($/mo)</t>
  </si>
  <si>
    <t xml:space="preserve">Meets target?</t>
  </si>
  <si>
    <t xml:space="preserve">CLIENT PORTFOLIO</t>
  </si>
  <si>
    <t xml:space="preserve">One row per client: type the client name and weekly hours (yellow). Leave the 1099 cost blank to use the default from the Margin Calculator, or enter a different rate for that client's consultant.</t>
  </si>
  <si>
    <t xml:space="preserve">Client</t>
  </si>
  <si>
    <t xml:space="preserve">1099 cost ($/hr)
(blank = default)</t>
  </si>
  <si>
    <t xml:space="preserve">Rate ($/hr)</t>
  </si>
  <si>
    <t xml:space="preserve">Subscription ($/mo)</t>
  </si>
  <si>
    <t xml:space="preserve">Margin</t>
  </si>
  <si>
    <t xml:space="preserve">PORTFOLIO TOTAL</t>
  </si>
  <si>
    <t xml:space="preserve">Active clients</t>
  </si>
  <si>
    <t xml:space="preserve">Annual recurring revenue</t>
  </si>
  <si>
    <t xml:space="preserve">Consultant capacity needed (FTEs @ 40 hrs/wk)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</si>
</sst>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\$#,##0.00;[RED]&quot;($&quot;#,##0.00\);\-"/>
    <numFmt numFmtId="167" formatCode="@"/>
    <numFmt numFmtId="168" formatCode="0"/>
    <numFmt numFmtId="169" formatCode="0.0%"/>
    <numFmt numFmtId="170" formatCode="0%"/>
    <numFmt numFmtId="171" formatCode="\$#,##0;[RED]&quot;($&quot;#,##0\);\-"/>
    <numFmt numFmtId="172" formatCode="0.0;[RED]\-0.0;\-"/>
    <numFmt numFmtId="173" formatCode="0.0%;[RED]\-0.0%;\-"/>
    <numFmt numFmtId="174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17345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17324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453"/>
        <bgColor rgb="FF17324D"/>
      </patternFill>
    </fill>
    <fill>
      <patternFill patternType="solid">
        <fgColor rgb="FFEAF3F7"/>
        <bgColor rgb="FFDDE9F3"/>
      </patternFill>
    </fill>
    <fill>
      <patternFill patternType="solid">
        <fgColor rgb="FFFFF2B7"/>
        <bgColor rgb="FFFBE3E3"/>
      </patternFill>
    </fill>
    <fill>
      <patternFill patternType="solid">
        <fgColor rgb="FFDDE9F3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2E6B1F"/>
      </font>
      <fill>
        <patternFill>
          <bgColor rgb="FFE2F0D9"/>
        </patternFill>
      </fill>
    </dxf>
    <dxf>
      <font>
        <name val="Calibri"/>
        <charset val="1"/>
        <family val="0"/>
        <b val="1"/>
        <color rgb="FFA61B1B"/>
      </font>
      <fill>
        <patternFill>
          <bgColor rgb="FFFBE3E3"/>
        </patternFill>
      </fill>
    </dxf>
    <dxf>
      <fill>
        <patternFill>
          <bgColor rgb="FFFFE07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7"/>
      <rgbColor rgb="FFEAF3F7"/>
      <rgbColor rgb="FF660066"/>
      <rgbColor rgb="FFFF8080"/>
      <rgbColor rgb="FF0066CC"/>
      <rgbColor rgb="FFC9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9F3"/>
      <rgbColor rgb="FFE2F0D9"/>
      <rgbColor rgb="FFFBE3E3"/>
      <rgbColor rgb="FF99CCFF"/>
      <rgbColor rgb="FFFF99CC"/>
      <rgbColor rgb="FFCC99FF"/>
      <rgbColor rgb="FFFFE07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453"/>
      <rgbColor rgb="FF339966"/>
      <rgbColor rgb="FF003300"/>
      <rgbColor rgb="FF333300"/>
      <rgbColor rgb="FFA61B1B"/>
      <rgbColor rgb="FF993366"/>
      <rgbColor rgb="FF333399"/>
      <rgbColor rgb="FF1732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7"/>
    <col collapsed="false" customWidth="true" hidden="false" outlineLevel="0" max="3" min="3" style="1" width="52"/>
    <col collapsed="false" customWidth="true" hidden="false" outlineLevel="0" max="4" min="4" style="1" width="3"/>
    <col collapsed="false" customWidth="true" hidden="false" outlineLevel="0" max="5" min="5" style="1" width="17"/>
    <col collapsed="false" customWidth="true" hidden="false" outlineLevel="0" max="7" min="6" style="1" width="11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2</v>
      </c>
      <c r="B4" s="4"/>
      <c r="C4" s="4"/>
      <c r="E4" s="4" t="s">
        <v>3</v>
      </c>
      <c r="F4" s="4"/>
      <c r="G4" s="4"/>
      <c r="H4" s="4"/>
    </row>
    <row r="5" customFormat="false" ht="30" hidden="false" customHeight="true" outlineLevel="0" collapsed="false">
      <c r="A5" s="5" t="s">
        <v>4</v>
      </c>
      <c r="B5" s="6" t="n">
        <v>20</v>
      </c>
      <c r="C5" s="7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customFormat="false" ht="18" hidden="false" customHeight="true" outlineLevel="0" collapsed="false">
      <c r="A6" s="5" t="s">
        <v>10</v>
      </c>
      <c r="B6" s="9" t="n">
        <v>105</v>
      </c>
      <c r="C6" s="7" t="s">
        <v>11</v>
      </c>
      <c r="E6" s="10" t="s">
        <v>12</v>
      </c>
      <c r="F6" s="11" t="n">
        <v>5</v>
      </c>
      <c r="G6" s="11" t="n">
        <v>20</v>
      </c>
      <c r="H6" s="12" t="n">
        <v>189</v>
      </c>
    </row>
    <row r="7" customFormat="false" ht="30" hidden="false" customHeight="true" outlineLevel="0" collapsed="false">
      <c r="A7" s="5" t="s">
        <v>13</v>
      </c>
      <c r="B7" s="9" t="n">
        <v>0</v>
      </c>
      <c r="C7" s="7" t="s">
        <v>14</v>
      </c>
      <c r="E7" s="10" t="s">
        <v>15</v>
      </c>
      <c r="F7" s="11" t="n">
        <v>21</v>
      </c>
      <c r="G7" s="11" t="n">
        <v>29</v>
      </c>
      <c r="H7" s="12" t="n">
        <v>180</v>
      </c>
    </row>
    <row r="8" customFormat="false" ht="30" hidden="false" customHeight="true" outlineLevel="0" collapsed="false">
      <c r="A8" s="5" t="s">
        <v>16</v>
      </c>
      <c r="B8" s="13" t="n">
        <v>0.3</v>
      </c>
      <c r="C8" s="7" t="s">
        <v>17</v>
      </c>
      <c r="E8" s="10" t="s">
        <v>18</v>
      </c>
      <c r="F8" s="11" t="n">
        <v>30</v>
      </c>
      <c r="G8" s="11" t="n">
        <v>40</v>
      </c>
      <c r="H8" s="12" t="n">
        <v>174</v>
      </c>
    </row>
    <row r="9" customFormat="false" ht="30" hidden="false" customHeight="true" outlineLevel="0" collapsed="false">
      <c r="A9" s="5" t="s">
        <v>19</v>
      </c>
      <c r="B9" s="14" t="n">
        <v>1</v>
      </c>
      <c r="C9" s="7" t="s">
        <v>20</v>
      </c>
      <c r="E9" s="15" t="s">
        <v>21</v>
      </c>
      <c r="F9" s="15"/>
      <c r="G9" s="15"/>
      <c r="H9" s="15"/>
    </row>
    <row r="10" customFormat="false" ht="30" hidden="false" customHeight="true" outlineLevel="0" collapsed="false">
      <c r="A10" s="5" t="s">
        <v>22</v>
      </c>
      <c r="B10" s="16" t="n">
        <v>52</v>
      </c>
      <c r="C10" s="7" t="s">
        <v>23</v>
      </c>
      <c r="E10" s="15"/>
      <c r="F10" s="15"/>
      <c r="G10" s="15"/>
      <c r="H10" s="15"/>
    </row>
    <row r="11" customFormat="false" ht="30" hidden="false" customHeight="true" outlineLevel="0" collapsed="false">
      <c r="A11" s="5" t="s">
        <v>24</v>
      </c>
      <c r="B11" s="17" t="n">
        <v>50</v>
      </c>
      <c r="C11" s="7" t="s">
        <v>25</v>
      </c>
      <c r="E11" s="15"/>
      <c r="F11" s="15"/>
      <c r="G11" s="15"/>
      <c r="H11" s="15"/>
    </row>
    <row r="13" customFormat="false" ht="19.5" hidden="false" customHeight="true" outlineLevel="0" collapsed="false">
      <c r="A13" s="4" t="s">
        <v>26</v>
      </c>
      <c r="B13" s="4"/>
      <c r="C13" s="4"/>
    </row>
    <row r="14" customFormat="false" ht="18" hidden="false" customHeight="true" outlineLevel="0" collapsed="false">
      <c r="A14" s="5" t="s">
        <v>27</v>
      </c>
      <c r="B14" s="18" t="str">
        <f aca="false">IF(AND($B$5&gt;=$F$6,$B$5&lt;=$G$8),INDEX($E$6:$E$8,MATCH($B$5,$F$6:$F$8,1)),"Out of range")</f>
        <v>Lite Engagement</v>
      </c>
    </row>
    <row r="15" customFormat="false" ht="18" hidden="false" customHeight="true" outlineLevel="0" collapsed="false">
      <c r="A15" s="19" t="s">
        <v>28</v>
      </c>
      <c r="B15" s="20" t="n">
        <f aca="false">IF(AND($B$5&gt;=$F$6,$B$5&lt;=$G$8),INDEX($H$6:$H$8,MATCH($B$5,$F$6:$F$8,1)),0)</f>
        <v>189</v>
      </c>
    </row>
    <row r="16" customFormat="false" ht="30" hidden="false" customHeight="true" outlineLevel="0" collapsed="false">
      <c r="A16" s="5" t="s">
        <v>29</v>
      </c>
      <c r="B16" s="18" t="str">
        <f aca="false">IF(AND($B$5&gt;=$F$6,$B$5&lt;=$G$8),"OK – hours fall inside a tier","Hours outside "&amp;$F$6&amp;"–"&amp;$G$8&amp;" – no rate applies")</f>
        <v>OK – hours fall inside a tier</v>
      </c>
    </row>
    <row r="18" customFormat="false" ht="19.5" hidden="false" customHeight="true" outlineLevel="0" collapsed="false">
      <c r="A18" s="4" t="s">
        <v>30</v>
      </c>
      <c r="B18" s="4"/>
      <c r="C18" s="4"/>
    </row>
    <row r="19" customFormat="false" ht="18" hidden="false" customHeight="true" outlineLevel="0" collapsed="false">
      <c r="A19" s="5" t="s">
        <v>31</v>
      </c>
      <c r="B19" s="21" t="n">
        <f aca="false">B15*B5*$B$10/12</f>
        <v>16380</v>
      </c>
      <c r="C19" s="7" t="s">
        <v>32</v>
      </c>
    </row>
    <row r="20" customFormat="false" ht="30" hidden="false" customHeight="true" outlineLevel="0" collapsed="false">
      <c r="A20" s="19" t="s">
        <v>33</v>
      </c>
      <c r="B20" s="20" t="n">
        <f aca="false">IF(B11&gt;0,CEILING(B19,B11),B19)</f>
        <v>16400</v>
      </c>
      <c r="C20" s="7" t="s">
        <v>34</v>
      </c>
    </row>
    <row r="21" customFormat="false" ht="18" hidden="false" customHeight="true" outlineLevel="0" collapsed="false">
      <c r="A21" s="5" t="s">
        <v>35</v>
      </c>
      <c r="B21" s="22" t="n">
        <f aca="false">B5*B9*$B$10/12</f>
        <v>86.6666666666667</v>
      </c>
    </row>
    <row r="22" customFormat="false" ht="18" hidden="false" customHeight="true" outlineLevel="0" collapsed="false">
      <c r="A22" s="5" t="s">
        <v>36</v>
      </c>
      <c r="B22" s="21" t="n">
        <f aca="false">B6*B21</f>
        <v>9100</v>
      </c>
    </row>
    <row r="23" customFormat="false" ht="18" hidden="false" customHeight="true" outlineLevel="0" collapsed="false">
      <c r="A23" s="5" t="s">
        <v>37</v>
      </c>
      <c r="B23" s="21" t="n">
        <f aca="false">B7*B21</f>
        <v>0</v>
      </c>
    </row>
    <row r="24" customFormat="false" ht="18" hidden="false" customHeight="true" outlineLevel="0" collapsed="false">
      <c r="A24" s="5" t="s">
        <v>38</v>
      </c>
      <c r="B24" s="21" t="n">
        <f aca="false">B19-B22</f>
        <v>7280</v>
      </c>
    </row>
    <row r="25" customFormat="false" ht="18" hidden="false" customHeight="true" outlineLevel="0" collapsed="false">
      <c r="A25" s="5" t="s">
        <v>39</v>
      </c>
      <c r="B25" s="23" t="n">
        <f aca="false">IFERROR(B24/B19,0)</f>
        <v>0.444444444444444</v>
      </c>
    </row>
    <row r="26" customFormat="false" ht="18" hidden="false" customHeight="true" outlineLevel="0" collapsed="false">
      <c r="A26" s="19" t="s">
        <v>40</v>
      </c>
      <c r="B26" s="20" t="n">
        <f aca="false">B24-B23</f>
        <v>7280</v>
      </c>
    </row>
    <row r="27" customFormat="false" ht="18" hidden="false" customHeight="true" outlineLevel="0" collapsed="false">
      <c r="A27" s="19" t="s">
        <v>41</v>
      </c>
      <c r="B27" s="24" t="n">
        <f aca="false">IFERROR(B26/B19,0)</f>
        <v>0.444444444444444</v>
      </c>
    </row>
    <row r="28" customFormat="false" ht="18" hidden="false" customHeight="true" outlineLevel="0" collapsed="false">
      <c r="A28" s="5" t="s">
        <v>42</v>
      </c>
      <c r="B28" s="18" t="str">
        <f aca="false">IF(B19=0,"No revenue",IF(B27&gt;=B8,"Meets target","Below target"))</f>
        <v>Meets target</v>
      </c>
    </row>
    <row r="30" customFormat="false" ht="19.5" hidden="false" customHeight="true" outlineLevel="0" collapsed="false">
      <c r="A30" s="4" t="s">
        <v>43</v>
      </c>
      <c r="B30" s="4"/>
      <c r="C30" s="4"/>
    </row>
    <row r="31" customFormat="false" ht="18" hidden="false" customHeight="true" outlineLevel="0" collapsed="false">
      <c r="A31" s="5" t="s">
        <v>44</v>
      </c>
      <c r="B31" s="21" t="n">
        <f aca="false">B19*12</f>
        <v>196560</v>
      </c>
    </row>
    <row r="32" customFormat="false" ht="18" hidden="false" customHeight="true" outlineLevel="0" collapsed="false">
      <c r="A32" s="5" t="s">
        <v>45</v>
      </c>
      <c r="B32" s="21" t="n">
        <f aca="false">B26*12</f>
        <v>87360</v>
      </c>
    </row>
    <row r="34" customFormat="false" ht="19.5" hidden="false" customHeight="true" outlineLevel="0" collapsed="false">
      <c r="A34" s="4" t="s">
        <v>46</v>
      </c>
      <c r="B34" s="4"/>
      <c r="C34" s="4"/>
    </row>
    <row r="35" customFormat="false" ht="30" hidden="false" customHeight="true" outlineLevel="0" collapsed="false">
      <c r="A35" s="5" t="s">
        <v>47</v>
      </c>
      <c r="B35" s="21" t="n">
        <f aca="false">IFERROR((B6+B7)*B9/(1-B8),0)</f>
        <v>150</v>
      </c>
      <c r="C35" s="7" t="s">
        <v>48</v>
      </c>
    </row>
    <row r="36" customFormat="false" ht="30" hidden="false" customHeight="true" outlineLevel="0" collapsed="false">
      <c r="A36" s="5" t="s">
        <v>49</v>
      </c>
      <c r="B36" s="21" t="n">
        <f aca="false">B15-B35</f>
        <v>39</v>
      </c>
      <c r="C36" s="7" t="s">
        <v>50</v>
      </c>
    </row>
    <row r="37" customFormat="false" ht="30" hidden="false" customHeight="true" outlineLevel="0" collapsed="false">
      <c r="A37" s="5" t="s">
        <v>51</v>
      </c>
      <c r="B37" s="22" t="n">
        <f aca="false">IFERROR(B15*B5*(1-B8)/(B6+B7),0)</f>
        <v>25.2</v>
      </c>
      <c r="C37" s="7" t="s">
        <v>52</v>
      </c>
    </row>
    <row r="38" customFormat="false" ht="18" hidden="false" customHeight="true" outlineLevel="0" collapsed="false">
      <c r="A38" s="5" t="s">
        <v>53</v>
      </c>
      <c r="B38" s="22" t="n">
        <f aca="false">B37-B5*B9</f>
        <v>5.2</v>
      </c>
      <c r="C38" s="7" t="s">
        <v>54</v>
      </c>
    </row>
  </sheetData>
  <mergeCells count="9">
    <mergeCell ref="A1:H1"/>
    <mergeCell ref="A2:H2"/>
    <mergeCell ref="A4:C4"/>
    <mergeCell ref="E4:H4"/>
    <mergeCell ref="E9:H11"/>
    <mergeCell ref="A13:C13"/>
    <mergeCell ref="A18:C18"/>
    <mergeCell ref="A30:C30"/>
    <mergeCell ref="A34:C34"/>
  </mergeCells>
  <conditionalFormatting sqref="B16">
    <cfRule type="expression" priority="2" aboveAverage="0" equalAverage="0" bottom="0" percent="0" rank="0" text="" dxfId="0">
      <formula>AND($B$5&gt;=$F$6,$B$5&lt;=$G$8)</formula>
    </cfRule>
    <cfRule type="expression" priority="3" aboveAverage="0" equalAverage="0" bottom="0" percent="0" rank="0" text="" dxfId="1">
      <formula>NOT(AND($B$5&gt;=$F$6,$B$5&lt;=$G$8))</formula>
    </cfRule>
  </conditionalFormatting>
  <conditionalFormatting sqref="B28">
    <cfRule type="expression" priority="4" aboveAverage="0" equalAverage="0" bottom="0" percent="0" rank="0" text="" dxfId="0">
      <formula>$B$28="Meets target"</formula>
    </cfRule>
    <cfRule type="expression" priority="5" aboveAverage="0" equalAverage="0" bottom="0" percent="0" rank="0" text="" dxfId="1">
      <formula>$B$28&lt;&gt;"Meets target"</formula>
    </cfRule>
  </conditionalFormatting>
  <conditionalFormatting sqref="B27">
    <cfRule type="expression" priority="6" aboveAverage="0" equalAverage="0" bottom="0" percent="0" rank="0" text="" dxfId="1">
      <formula>AND($B$19&gt;0,$B$27&lt;$B$8)</formula>
    </cfRule>
    <cfRule type="expression" priority="7" aboveAverage="0" equalAverage="0" bottom="0" percent="0" rank="0" text="" dxfId="0">
      <formula>AND($B$19&gt;0,$B$27&gt;=$B$8)</formula>
    </cfRule>
  </conditionalFormatting>
  <conditionalFormatting sqref="B36">
    <cfRule type="cellIs" priority="8" operator="lessThan" aboveAverage="0" equalAverage="0" bottom="0" percent="0" rank="0" text="" dxfId="1">
      <formula>0</formula>
    </cfRule>
  </conditionalFormatting>
  <conditionalFormatting sqref="B38">
    <cfRule type="cellIs" priority="9" operator="lessThan" aboveAverage="0" equalAverage="0" bottom="0" percent="0" rank="0" text="" dxfId="1">
      <formula>0</formula>
    </cfRule>
  </conditionalFormatting>
  <conditionalFormatting sqref="E6:H8">
    <cfRule type="expression" priority="10" aboveAverage="0" equalAverage="0" bottom="0" percent="0" rank="0" text="" dxfId="2">
      <formula>$E6=$B$14</formula>
    </cfRule>
  </conditionalFormatting>
  <dataValidations count="7">
    <dataValidation allowBlank="false" error="Enter weekly hours between 0 and 80." errorStyle="stop" errorTitle="Check this value" operator="between" showDropDown="false" showErrorMessage="true" showInputMessage="false" sqref="B5" type="decimal">
      <formula1>0</formula1>
      <formula2>80</formula2>
    </dataValidation>
    <dataValidation allowBlank="false" error="Enter a cost per hour between $0 and $1,000." errorStyle="stop" errorTitle="Check this value" operator="between" showDropDown="false" showErrorMessage="true" showInputMessage="false" sqref="B6" type="decimal">
      <formula1>0</formula1>
      <formula2>1000</formula2>
    </dataValidation>
    <dataValidation allowBlank="false" error="Enter overhead per hour between $0 and $1,000." errorStyle="stop" errorTitle="Check this value" operator="between" showDropDown="false" showErrorMessage="true" showInputMessage="false" sqref="B7" type="decimal">
      <formula1>0</formula1>
      <formula2>1000</formula2>
    </dataValidation>
    <dataValidation allowBlank="false" error="Enter a margin between 0% and 95% (e.g. type 35%)." errorStyle="stop" errorTitle="Check this value" operator="between" showDropDown="false" showErrorMessage="true" showInputMessage="false" sqref="B8" type="decimal">
      <formula1>0</formula1>
      <formula2>0.95</formula2>
    </dataValidation>
    <dataValidation allowBlank="false" error="Enter a percentage between 10% and 300%." errorStyle="stop" errorTitle="Check this value" operator="between" showDropDown="false" showErrorMessage="true" showInputMessage="false" sqref="B9" type="decimal">
      <formula1>0.1</formula1>
      <formula2>3</formula2>
    </dataValidation>
    <dataValidation allowBlank="false" error="Enter weeks between 1 and 53." errorStyle="stop" errorTitle="Check this value" operator="between" showDropDown="false" showErrorMessage="true" showInputMessage="false" sqref="B10" type="whole">
      <formula1>1</formula1>
      <formula2>53</formula2>
    </dataValidation>
    <dataValidation allowBlank="false" error="Enter a rounding amount, e.g. 50 or 100. 0 = no rounding." errorStyle="stop" errorTitle="Check this value" operator="between" showDropDown="false" showErrorMessage="true" showInputMessage="false" sqref="B11" type="decimal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5"/>
    <col collapsed="false" customWidth="true" hidden="false" outlineLevel="0" max="5" min="4" style="1" width="16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7"/>
    <col collapsed="false" customWidth="true" hidden="false" outlineLevel="0" max="10" min="10" style="1" width="15"/>
  </cols>
  <sheetData>
    <row r="1" customFormat="false" ht="31.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A4" s="25" t="s">
        <v>57</v>
      </c>
      <c r="B4" s="25" t="s">
        <v>6</v>
      </c>
      <c r="C4" s="25" t="s">
        <v>58</v>
      </c>
      <c r="D4" s="25" t="s">
        <v>59</v>
      </c>
      <c r="E4" s="25" t="s">
        <v>60</v>
      </c>
      <c r="F4" s="25" t="s">
        <v>61</v>
      </c>
      <c r="G4" s="25" t="s">
        <v>62</v>
      </c>
      <c r="H4" s="25" t="s">
        <v>41</v>
      </c>
      <c r="I4" s="25" t="str">
        <f aca="false">"Floor rate @ "&amp;TEXT('Margin Calculator'!$B$8,"0%")&amp;" ($/hr)"</f>
        <v>Floor rate @ 30% ($/hr)</v>
      </c>
      <c r="J4" s="25" t="s">
        <v>63</v>
      </c>
    </row>
    <row r="5" customFormat="false" ht="15" hidden="false" customHeight="true" outlineLevel="0" collapsed="false">
      <c r="A5" s="26" t="n">
        <v>5</v>
      </c>
      <c r="B5" s="27" t="str">
        <f aca="false">IF(AND(A5&gt;='Margin Calculator'!$F$6,A5&lt;='Margin Calculator'!$G$8),INDEX('Margin Calculator'!$E$6:$E$8,MATCH(A5,'Margin Calculator'!$F$6:$F$8,1)),"Out of range")</f>
        <v>Lite Engagement</v>
      </c>
      <c r="C5" s="28" t="n">
        <f aca="false">IF(AND(A5&gt;='Margin Calculator'!$F$6,A5&lt;='Margin Calculator'!$G$8),INDEX('Margin Calculator'!$H$6:$H$8,MATCH(A5,'Margin Calculator'!$F$6:$F$8,1)),0)</f>
        <v>189</v>
      </c>
      <c r="D5" s="28" t="n">
        <f aca="false">A5*C5*'Margin Calculator'!$B$10/12</f>
        <v>4095</v>
      </c>
      <c r="E5" s="28" t="n">
        <f aca="false">'Margin Calculator'!$B$6*A5*'Margin Calculator'!$B$9*'Margin Calculator'!$B$10/12</f>
        <v>2275</v>
      </c>
      <c r="F5" s="28" t="n">
        <f aca="false">'Margin Calculator'!$B$7*A5*'Margin Calculator'!$B$9*'Margin Calculator'!$B$10/12</f>
        <v>0</v>
      </c>
      <c r="G5" s="28" t="n">
        <f aca="false">D5-E5-F5</f>
        <v>1820</v>
      </c>
      <c r="H5" s="29" t="n">
        <f aca="false">IFERROR(G5/D5,0)</f>
        <v>0.444444444444444</v>
      </c>
      <c r="I5" s="28" t="n">
        <f aca="false">IFERROR(('Margin Calculator'!$B$6+'Margin Calculator'!$B$7)*'Margin Calculator'!$B$9/(1-'Margin Calculator'!$B$8),0)</f>
        <v>150</v>
      </c>
      <c r="J5" s="27" t="str">
        <f aca="false">IF(D5=0,"–",IF(H5&gt;='Margin Calculator'!$B$8,"Yes","No"))</f>
        <v>Yes</v>
      </c>
    </row>
    <row r="6" customFormat="false" ht="15" hidden="false" customHeight="true" outlineLevel="0" collapsed="false">
      <c r="A6" s="26" t="n">
        <v>10</v>
      </c>
      <c r="B6" s="27" t="str">
        <f aca="false">IF(AND(A6&gt;='Margin Calculator'!$F$6,A6&lt;='Margin Calculator'!$G$8),INDEX('Margin Calculator'!$E$6:$E$8,MATCH(A6,'Margin Calculator'!$F$6:$F$8,1)),"Out of range")</f>
        <v>Lite Engagement</v>
      </c>
      <c r="C6" s="28" t="n">
        <f aca="false">IF(AND(A6&gt;='Margin Calculator'!$F$6,A6&lt;='Margin Calculator'!$G$8),INDEX('Margin Calculator'!$H$6:$H$8,MATCH(A6,'Margin Calculator'!$F$6:$F$8,1)),0)</f>
        <v>189</v>
      </c>
      <c r="D6" s="28" t="n">
        <f aca="false">A6*C6*'Margin Calculator'!$B$10/12</f>
        <v>8190</v>
      </c>
      <c r="E6" s="28" t="n">
        <f aca="false">'Margin Calculator'!$B$6*A6*'Margin Calculator'!$B$9*'Margin Calculator'!$B$10/12</f>
        <v>4550</v>
      </c>
      <c r="F6" s="28" t="n">
        <f aca="false">'Margin Calculator'!$B$7*A6*'Margin Calculator'!$B$9*'Margin Calculator'!$B$10/12</f>
        <v>0</v>
      </c>
      <c r="G6" s="28" t="n">
        <f aca="false">D6-E6-F6</f>
        <v>3640</v>
      </c>
      <c r="H6" s="29" t="n">
        <f aca="false">IFERROR(G6/D6,0)</f>
        <v>0.444444444444444</v>
      </c>
      <c r="I6" s="28" t="n">
        <f aca="false">IFERROR(('Margin Calculator'!$B$6+'Margin Calculator'!$B$7)*'Margin Calculator'!$B$9/(1-'Margin Calculator'!$B$8),0)</f>
        <v>150</v>
      </c>
      <c r="J6" s="27" t="str">
        <f aca="false">IF(D6=0,"–",IF(H6&gt;='Margin Calculator'!$B$8,"Yes","No"))</f>
        <v>Yes</v>
      </c>
    </row>
    <row r="7" customFormat="false" ht="15" hidden="false" customHeight="true" outlineLevel="0" collapsed="false">
      <c r="A7" s="26" t="n">
        <v>15</v>
      </c>
      <c r="B7" s="27" t="str">
        <f aca="false">IF(AND(A7&gt;='Margin Calculator'!$F$6,A7&lt;='Margin Calculator'!$G$8),INDEX('Margin Calculator'!$E$6:$E$8,MATCH(A7,'Margin Calculator'!$F$6:$F$8,1)),"Out of range")</f>
        <v>Lite Engagement</v>
      </c>
      <c r="C7" s="28" t="n">
        <f aca="false">IF(AND(A7&gt;='Margin Calculator'!$F$6,A7&lt;='Margin Calculator'!$G$8),INDEX('Margin Calculator'!$H$6:$H$8,MATCH(A7,'Margin Calculator'!$F$6:$F$8,1)),0)</f>
        <v>189</v>
      </c>
      <c r="D7" s="28" t="n">
        <f aca="false">A7*C7*'Margin Calculator'!$B$10/12</f>
        <v>12285</v>
      </c>
      <c r="E7" s="28" t="n">
        <f aca="false">'Margin Calculator'!$B$6*A7*'Margin Calculator'!$B$9*'Margin Calculator'!$B$10/12</f>
        <v>6825</v>
      </c>
      <c r="F7" s="28" t="n">
        <f aca="false">'Margin Calculator'!$B$7*A7*'Margin Calculator'!$B$9*'Margin Calculator'!$B$10/12</f>
        <v>0</v>
      </c>
      <c r="G7" s="28" t="n">
        <f aca="false">D7-E7-F7</f>
        <v>5460</v>
      </c>
      <c r="H7" s="29" t="n">
        <f aca="false">IFERROR(G7/D7,0)</f>
        <v>0.444444444444444</v>
      </c>
      <c r="I7" s="28" t="n">
        <f aca="false">IFERROR(('Margin Calculator'!$B$6+'Margin Calculator'!$B$7)*'Margin Calculator'!$B$9/(1-'Margin Calculator'!$B$8),0)</f>
        <v>150</v>
      </c>
      <c r="J7" s="27" t="str">
        <f aca="false">IF(D7=0,"–",IF(H7&gt;='Margin Calculator'!$B$8,"Yes","No"))</f>
        <v>Yes</v>
      </c>
    </row>
    <row r="8" customFormat="false" ht="15" hidden="false" customHeight="true" outlineLevel="0" collapsed="false">
      <c r="A8" s="26" t="n">
        <v>20</v>
      </c>
      <c r="B8" s="27" t="str">
        <f aca="false">IF(AND(A8&gt;='Margin Calculator'!$F$6,A8&lt;='Margin Calculator'!$G$8),INDEX('Margin Calculator'!$E$6:$E$8,MATCH(A8,'Margin Calculator'!$F$6:$F$8,1)),"Out of range")</f>
        <v>Lite Engagement</v>
      </c>
      <c r="C8" s="28" t="n">
        <f aca="false">IF(AND(A8&gt;='Margin Calculator'!$F$6,A8&lt;='Margin Calculator'!$G$8),INDEX('Margin Calculator'!$H$6:$H$8,MATCH(A8,'Margin Calculator'!$F$6:$F$8,1)),0)</f>
        <v>189</v>
      </c>
      <c r="D8" s="28" t="n">
        <f aca="false">A8*C8*'Margin Calculator'!$B$10/12</f>
        <v>16380</v>
      </c>
      <c r="E8" s="28" t="n">
        <f aca="false">'Margin Calculator'!$B$6*A8*'Margin Calculator'!$B$9*'Margin Calculator'!$B$10/12</f>
        <v>9100</v>
      </c>
      <c r="F8" s="28" t="n">
        <f aca="false">'Margin Calculator'!$B$7*A8*'Margin Calculator'!$B$9*'Margin Calculator'!$B$10/12</f>
        <v>0</v>
      </c>
      <c r="G8" s="28" t="n">
        <f aca="false">D8-E8-F8</f>
        <v>7280</v>
      </c>
      <c r="H8" s="29" t="n">
        <f aca="false">IFERROR(G8/D8,0)</f>
        <v>0.444444444444444</v>
      </c>
      <c r="I8" s="28" t="n">
        <f aca="false">IFERROR(('Margin Calculator'!$B$6+'Margin Calculator'!$B$7)*'Margin Calculator'!$B$9/(1-'Margin Calculator'!$B$8),0)</f>
        <v>150</v>
      </c>
      <c r="J8" s="27" t="str">
        <f aca="false">IF(D8=0,"–",IF(H8&gt;='Margin Calculator'!$B$8,"Yes","No"))</f>
        <v>Yes</v>
      </c>
    </row>
    <row r="9" customFormat="false" ht="15" hidden="false" customHeight="true" outlineLevel="0" collapsed="false">
      <c r="A9" s="26" t="n">
        <v>25</v>
      </c>
      <c r="B9" s="27" t="str">
        <f aca="false">IF(AND(A9&gt;='Margin Calculator'!$F$6,A9&lt;='Margin Calculator'!$G$8),INDEX('Margin Calculator'!$E$6:$E$8,MATCH(A9,'Margin Calculator'!$F$6:$F$8,1)),"Out of range")</f>
        <v>Part-Time</v>
      </c>
      <c r="C9" s="28" t="n">
        <f aca="false">IF(AND(A9&gt;='Margin Calculator'!$F$6,A9&lt;='Margin Calculator'!$G$8),INDEX('Margin Calculator'!$H$6:$H$8,MATCH(A9,'Margin Calculator'!$F$6:$F$8,1)),0)</f>
        <v>180</v>
      </c>
      <c r="D9" s="28" t="n">
        <f aca="false">A9*C9*'Margin Calculator'!$B$10/12</f>
        <v>19500</v>
      </c>
      <c r="E9" s="28" t="n">
        <f aca="false">'Margin Calculator'!$B$6*A9*'Margin Calculator'!$B$9*'Margin Calculator'!$B$10/12</f>
        <v>11375</v>
      </c>
      <c r="F9" s="28" t="n">
        <f aca="false">'Margin Calculator'!$B$7*A9*'Margin Calculator'!$B$9*'Margin Calculator'!$B$10/12</f>
        <v>0</v>
      </c>
      <c r="G9" s="28" t="n">
        <f aca="false">D9-E9-F9</f>
        <v>8125</v>
      </c>
      <c r="H9" s="29" t="n">
        <f aca="false">IFERROR(G9/D9,0)</f>
        <v>0.416666666666667</v>
      </c>
      <c r="I9" s="28" t="n">
        <f aca="false">IFERROR(('Margin Calculator'!$B$6+'Margin Calculator'!$B$7)*'Margin Calculator'!$B$9/(1-'Margin Calculator'!$B$8),0)</f>
        <v>150</v>
      </c>
      <c r="J9" s="27" t="str">
        <f aca="false">IF(D9=0,"–",IF(H9&gt;='Margin Calculator'!$B$8,"Yes","No"))</f>
        <v>Yes</v>
      </c>
    </row>
    <row r="10" customFormat="false" ht="15" hidden="false" customHeight="true" outlineLevel="0" collapsed="false">
      <c r="A10" s="26" t="n">
        <v>30</v>
      </c>
      <c r="B10" s="27" t="str">
        <f aca="false">IF(AND(A10&gt;='Margin Calculator'!$F$6,A10&lt;='Margin Calculator'!$G$8),INDEX('Margin Calculator'!$E$6:$E$8,MATCH(A10,'Margin Calculator'!$F$6:$F$8,1)),"Out of range")</f>
        <v>Full-Time</v>
      </c>
      <c r="C10" s="28" t="n">
        <f aca="false">IF(AND(A10&gt;='Margin Calculator'!$F$6,A10&lt;='Margin Calculator'!$G$8),INDEX('Margin Calculator'!$H$6:$H$8,MATCH(A10,'Margin Calculator'!$F$6:$F$8,1)),0)</f>
        <v>174</v>
      </c>
      <c r="D10" s="28" t="n">
        <f aca="false">A10*C10*'Margin Calculator'!$B$10/12</f>
        <v>22620</v>
      </c>
      <c r="E10" s="28" t="n">
        <f aca="false">'Margin Calculator'!$B$6*A10*'Margin Calculator'!$B$9*'Margin Calculator'!$B$10/12</f>
        <v>13650</v>
      </c>
      <c r="F10" s="28" t="n">
        <f aca="false">'Margin Calculator'!$B$7*A10*'Margin Calculator'!$B$9*'Margin Calculator'!$B$10/12</f>
        <v>0</v>
      </c>
      <c r="G10" s="28" t="n">
        <f aca="false">D10-E10-F10</f>
        <v>8970</v>
      </c>
      <c r="H10" s="29" t="n">
        <f aca="false">IFERROR(G10/D10,0)</f>
        <v>0.396551724137931</v>
      </c>
      <c r="I10" s="28" t="n">
        <f aca="false">IFERROR(('Margin Calculator'!$B$6+'Margin Calculator'!$B$7)*'Margin Calculator'!$B$9/(1-'Margin Calculator'!$B$8),0)</f>
        <v>150</v>
      </c>
      <c r="J10" s="27" t="str">
        <f aca="false">IF(D10=0,"–",IF(H10&gt;='Margin Calculator'!$B$8,"Yes","No"))</f>
        <v>Yes</v>
      </c>
    </row>
    <row r="11" customFormat="false" ht="15" hidden="false" customHeight="true" outlineLevel="0" collapsed="false">
      <c r="A11" s="26" t="n">
        <v>35</v>
      </c>
      <c r="B11" s="27" t="str">
        <f aca="false">IF(AND(A11&gt;='Margin Calculator'!$F$6,A11&lt;='Margin Calculator'!$G$8),INDEX('Margin Calculator'!$E$6:$E$8,MATCH(A11,'Margin Calculator'!$F$6:$F$8,1)),"Out of range")</f>
        <v>Full-Time</v>
      </c>
      <c r="C11" s="28" t="n">
        <f aca="false">IF(AND(A11&gt;='Margin Calculator'!$F$6,A11&lt;='Margin Calculator'!$G$8),INDEX('Margin Calculator'!$H$6:$H$8,MATCH(A11,'Margin Calculator'!$F$6:$F$8,1)),0)</f>
        <v>174</v>
      </c>
      <c r="D11" s="28" t="n">
        <f aca="false">A11*C11*'Margin Calculator'!$B$10/12</f>
        <v>26390</v>
      </c>
      <c r="E11" s="28" t="n">
        <f aca="false">'Margin Calculator'!$B$6*A11*'Margin Calculator'!$B$9*'Margin Calculator'!$B$10/12</f>
        <v>15925</v>
      </c>
      <c r="F11" s="28" t="n">
        <f aca="false">'Margin Calculator'!$B$7*A11*'Margin Calculator'!$B$9*'Margin Calculator'!$B$10/12</f>
        <v>0</v>
      </c>
      <c r="G11" s="28" t="n">
        <f aca="false">D11-E11-F11</f>
        <v>10465</v>
      </c>
      <c r="H11" s="29" t="n">
        <f aca="false">IFERROR(G11/D11,0)</f>
        <v>0.396551724137931</v>
      </c>
      <c r="I11" s="28" t="n">
        <f aca="false">IFERROR(('Margin Calculator'!$B$6+'Margin Calculator'!$B$7)*'Margin Calculator'!$B$9/(1-'Margin Calculator'!$B$8),0)</f>
        <v>150</v>
      </c>
      <c r="J11" s="27" t="str">
        <f aca="false">IF(D11=0,"–",IF(H11&gt;='Margin Calculator'!$B$8,"Yes","No"))</f>
        <v>Yes</v>
      </c>
    </row>
    <row r="12" customFormat="false" ht="15" hidden="false" customHeight="true" outlineLevel="0" collapsed="false">
      <c r="A12" s="26" t="n">
        <v>40</v>
      </c>
      <c r="B12" s="27" t="str">
        <f aca="false">IF(AND(A12&gt;='Margin Calculator'!$F$6,A12&lt;='Margin Calculator'!$G$8),INDEX('Margin Calculator'!$E$6:$E$8,MATCH(A12,'Margin Calculator'!$F$6:$F$8,1)),"Out of range")</f>
        <v>Full-Time</v>
      </c>
      <c r="C12" s="28" t="n">
        <f aca="false">IF(AND(A12&gt;='Margin Calculator'!$F$6,A12&lt;='Margin Calculator'!$G$8),INDEX('Margin Calculator'!$H$6:$H$8,MATCH(A12,'Margin Calculator'!$F$6:$F$8,1)),0)</f>
        <v>174</v>
      </c>
      <c r="D12" s="28" t="n">
        <f aca="false">A12*C12*'Margin Calculator'!$B$10/12</f>
        <v>30160</v>
      </c>
      <c r="E12" s="28" t="n">
        <f aca="false">'Margin Calculator'!$B$6*A12*'Margin Calculator'!$B$9*'Margin Calculator'!$B$10/12</f>
        <v>18200</v>
      </c>
      <c r="F12" s="28" t="n">
        <f aca="false">'Margin Calculator'!$B$7*A12*'Margin Calculator'!$B$9*'Margin Calculator'!$B$10/12</f>
        <v>0</v>
      </c>
      <c r="G12" s="28" t="n">
        <f aca="false">D12-E12-F12</f>
        <v>11960</v>
      </c>
      <c r="H12" s="29" t="n">
        <f aca="false">IFERROR(G12/D12,0)</f>
        <v>0.396551724137931</v>
      </c>
      <c r="I12" s="28" t="n">
        <f aca="false">IFERROR(('Margin Calculator'!$B$6+'Margin Calculator'!$B$7)*'Margin Calculator'!$B$9/(1-'Margin Calculator'!$B$8),0)</f>
        <v>150</v>
      </c>
      <c r="J12" s="27" t="str">
        <f aca="false">IF(D12=0,"–",IF(H12&gt;='Margin Calculator'!$B$8,"Yes","No"))</f>
        <v>Yes</v>
      </c>
    </row>
  </sheetData>
  <mergeCells count="2">
    <mergeCell ref="A1:J1"/>
    <mergeCell ref="A2:J2"/>
  </mergeCells>
  <conditionalFormatting sqref="H5:H12">
    <cfRule type="colorScale" priority="2">
      <colorScale>
        <cfvo type="min" val="0"/>
        <cfvo type="percentile" val="50"/>
        <cfvo type="max" val="0"/>
        <color rgb="FFF8D7DA"/>
        <color rgb="FFFFF2CC"/>
        <color rgb="FFC6E0B4"/>
      </colorScale>
    </cfRule>
  </conditionalFormatting>
  <conditionalFormatting sqref="J5:J12">
    <cfRule type="cellIs" priority="3" operator="equal" aboveAverage="0" equalAverage="0" bottom="0" percent="0" rank="0" text="" dxfId="0">
      <formula>"Yes"</formula>
    </cfRule>
    <cfRule type="cellIs" priority="4" operator="equal" aboveAverage="0" equalAverage="0" bottom="0" percent="0" rank="0" text="" dxfId="1">
      <formula>"No"</formula>
    </cfRule>
  </conditionalFormatting>
  <conditionalFormatting sqref="B5:B12">
    <cfRule type="cellIs" priority="5" operator="equal" aboveAverage="0" equalAverage="0" bottom="0" percent="0" rank="0" text="" dxfId="1">
      <formula>"Out of range"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7"/>
    <col collapsed="false" customWidth="true" hidden="false" outlineLevel="0" max="5" min="4" style="1" width="12"/>
    <col collapsed="false" customWidth="true" hidden="false" outlineLevel="0" max="6" min="6" style="1" width="17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8"/>
    <col collapsed="false" customWidth="true" hidden="false" outlineLevel="0" max="10" min="10" style="1" width="11"/>
    <col collapsed="false" customWidth="true" hidden="false" outlineLevel="0" max="11" min="11" style="1" width="13"/>
  </cols>
  <sheetData>
    <row r="1" customFormat="false" ht="31.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3" t="s">
        <v>65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33.75" hidden="false" customHeight="true" outlineLevel="0" collapsed="false">
      <c r="A4" s="25" t="s">
        <v>66</v>
      </c>
      <c r="B4" s="25" t="s">
        <v>57</v>
      </c>
      <c r="C4" s="25" t="s">
        <v>67</v>
      </c>
      <c r="D4" s="25" t="s">
        <v>6</v>
      </c>
      <c r="E4" s="25" t="s">
        <v>68</v>
      </c>
      <c r="F4" s="25" t="s">
        <v>69</v>
      </c>
      <c r="G4" s="25" t="s">
        <v>60</v>
      </c>
      <c r="H4" s="25" t="s">
        <v>61</v>
      </c>
      <c r="I4" s="25" t="s">
        <v>62</v>
      </c>
      <c r="J4" s="25" t="s">
        <v>70</v>
      </c>
      <c r="K4" s="25" t="s">
        <v>63</v>
      </c>
    </row>
    <row r="5" customFormat="false" ht="15" hidden="false" customHeight="true" outlineLevel="0" collapsed="false">
      <c r="A5" s="30"/>
      <c r="B5" s="26"/>
      <c r="C5" s="12"/>
      <c r="D5" s="27" t="str">
        <f aca="false">IF(B5&lt;&gt;"",IF(AND(B5&gt;='Margin Calculator'!$F$6,B5&lt;='Margin Calculator'!$G$8),INDEX('Margin Calculator'!$E$6:$E$8,MATCH(B5,'Margin Calculator'!$F$6:$F$8,1)),"Out of range"),"")</f>
        <v/>
      </c>
      <c r="E5" s="28" t="str">
        <f aca="false">IF(B5&lt;&gt;"",IF(AND(B5&gt;='Margin Calculator'!$F$6,B5&lt;='Margin Calculator'!$G$8),INDEX('Margin Calculator'!$H$6:$H$8,MATCH(B5,'Margin Calculator'!$F$6:$F$8,1)),0),"")</f>
        <v/>
      </c>
      <c r="F5" s="28" t="str">
        <f aca="false">IF(B5&lt;&gt;"",IF('Margin Calculator'!$B$11&gt;0,CEILING(E5*B5*'Margin Calculator'!$B$10/12,'Margin Calculator'!$B$11),E5*B5*'Margin Calculator'!$B$10/12),"")</f>
        <v/>
      </c>
      <c r="G5" s="28" t="str">
        <f aca="false">IF(B5&lt;&gt;"",IF(C5="",'Margin Calculator'!$B$6,C5)*B5*'Margin Calculator'!$B$9*'Margin Calculator'!$B$10/12,"")</f>
        <v/>
      </c>
      <c r="H5" s="28" t="str">
        <f aca="false">IF(B5&lt;&gt;"",'Margin Calculator'!$B$7*B5*'Margin Calculator'!$B$9*'Margin Calculator'!$B$10/12,"")</f>
        <v/>
      </c>
      <c r="I5" s="28" t="str">
        <f aca="false">IF(B5&lt;&gt;"",F5-G5-H5,"")</f>
        <v/>
      </c>
      <c r="J5" s="29" t="str">
        <f aca="false">IF(B5&lt;&gt;"",IFERROR(I5/F5,0),"")</f>
        <v/>
      </c>
      <c r="K5" s="27" t="str">
        <f aca="false">IF(B5&lt;&gt;"",IF(E5=0,"Fix hours",IF(J5&gt;='Margin Calculator'!$B$8,"Yes","No")),"")</f>
        <v/>
      </c>
    </row>
    <row r="6" customFormat="false" ht="15" hidden="false" customHeight="true" outlineLevel="0" collapsed="false">
      <c r="A6" s="30"/>
      <c r="B6" s="26"/>
      <c r="C6" s="12"/>
      <c r="D6" s="27" t="str">
        <f aca="false">IF(B6&lt;&gt;"",IF(AND(B6&gt;='Margin Calculator'!$F$6,B6&lt;='Margin Calculator'!$G$8),INDEX('Margin Calculator'!$E$6:$E$8,MATCH(B6,'Margin Calculator'!$F$6:$F$8,1)),"Out of range"),"")</f>
        <v/>
      </c>
      <c r="E6" s="28" t="str">
        <f aca="false">IF(B6&lt;&gt;"",IF(AND(B6&gt;='Margin Calculator'!$F$6,B6&lt;='Margin Calculator'!$G$8),INDEX('Margin Calculator'!$H$6:$H$8,MATCH(B6,'Margin Calculator'!$F$6:$F$8,1)),0),"")</f>
        <v/>
      </c>
      <c r="F6" s="28" t="str">
        <f aca="false">IF(B6&lt;&gt;"",IF('Margin Calculator'!$B$11&gt;0,CEILING(E6*B6*'Margin Calculator'!$B$10/12,'Margin Calculator'!$B$11),E6*B6*'Margin Calculator'!$B$10/12),"")</f>
        <v/>
      </c>
      <c r="G6" s="28" t="str">
        <f aca="false">IF(B6&lt;&gt;"",IF(C6="",'Margin Calculator'!$B$6,C6)*B6*'Margin Calculator'!$B$9*'Margin Calculator'!$B$10/12,"")</f>
        <v/>
      </c>
      <c r="H6" s="28" t="str">
        <f aca="false">IF(B6&lt;&gt;"",'Margin Calculator'!$B$7*B6*'Margin Calculator'!$B$9*'Margin Calculator'!$B$10/12,"")</f>
        <v/>
      </c>
      <c r="I6" s="28" t="str">
        <f aca="false">IF(B6&lt;&gt;"",F6-G6-H6,"")</f>
        <v/>
      </c>
      <c r="J6" s="29" t="str">
        <f aca="false">IF(B6&lt;&gt;"",IFERROR(I6/F6,0),"")</f>
        <v/>
      </c>
      <c r="K6" s="27" t="str">
        <f aca="false">IF(B6&lt;&gt;"",IF(E6=0,"Fix hours",IF(J6&gt;='Margin Calculator'!$B$8,"Yes","No")),"")</f>
        <v/>
      </c>
    </row>
    <row r="7" customFormat="false" ht="15" hidden="false" customHeight="true" outlineLevel="0" collapsed="false">
      <c r="A7" s="30"/>
      <c r="B7" s="26"/>
      <c r="C7" s="12"/>
      <c r="D7" s="27" t="str">
        <f aca="false">IF(B7&lt;&gt;"",IF(AND(B7&gt;='Margin Calculator'!$F$6,B7&lt;='Margin Calculator'!$G$8),INDEX('Margin Calculator'!$E$6:$E$8,MATCH(B7,'Margin Calculator'!$F$6:$F$8,1)),"Out of range"),"")</f>
        <v/>
      </c>
      <c r="E7" s="28" t="str">
        <f aca="false">IF(B7&lt;&gt;"",IF(AND(B7&gt;='Margin Calculator'!$F$6,B7&lt;='Margin Calculator'!$G$8),INDEX('Margin Calculator'!$H$6:$H$8,MATCH(B7,'Margin Calculator'!$F$6:$F$8,1)),0),"")</f>
        <v/>
      </c>
      <c r="F7" s="28" t="str">
        <f aca="false">IF(B7&lt;&gt;"",IF('Margin Calculator'!$B$11&gt;0,CEILING(E7*B7*'Margin Calculator'!$B$10/12,'Margin Calculator'!$B$11),E7*B7*'Margin Calculator'!$B$10/12),"")</f>
        <v/>
      </c>
      <c r="G7" s="28" t="str">
        <f aca="false">IF(B7&lt;&gt;"",IF(C7="",'Margin Calculator'!$B$6,C7)*B7*'Margin Calculator'!$B$9*'Margin Calculator'!$B$10/12,"")</f>
        <v/>
      </c>
      <c r="H7" s="28" t="str">
        <f aca="false">IF(B7&lt;&gt;"",'Margin Calculator'!$B$7*B7*'Margin Calculator'!$B$9*'Margin Calculator'!$B$10/12,"")</f>
        <v/>
      </c>
      <c r="I7" s="28" t="str">
        <f aca="false">IF(B7&lt;&gt;"",F7-G7-H7,"")</f>
        <v/>
      </c>
      <c r="J7" s="29" t="str">
        <f aca="false">IF(B7&lt;&gt;"",IFERROR(I7/F7,0),"")</f>
        <v/>
      </c>
      <c r="K7" s="27" t="str">
        <f aca="false">IF(B7&lt;&gt;"",IF(E7=0,"Fix hours",IF(J7&gt;='Margin Calculator'!$B$8,"Yes","No")),"")</f>
        <v/>
      </c>
    </row>
    <row r="8" customFormat="false" ht="15" hidden="false" customHeight="true" outlineLevel="0" collapsed="false">
      <c r="A8" s="30"/>
      <c r="B8" s="26"/>
      <c r="C8" s="12"/>
      <c r="D8" s="27" t="str">
        <f aca="false">IF(B8&lt;&gt;"",IF(AND(B8&gt;='Margin Calculator'!$F$6,B8&lt;='Margin Calculator'!$G$8),INDEX('Margin Calculator'!$E$6:$E$8,MATCH(B8,'Margin Calculator'!$F$6:$F$8,1)),"Out of range"),"")</f>
        <v/>
      </c>
      <c r="E8" s="28" t="str">
        <f aca="false">IF(B8&lt;&gt;"",IF(AND(B8&gt;='Margin Calculator'!$F$6,B8&lt;='Margin Calculator'!$G$8),INDEX('Margin Calculator'!$H$6:$H$8,MATCH(B8,'Margin Calculator'!$F$6:$F$8,1)),0),"")</f>
        <v/>
      </c>
      <c r="F8" s="28" t="str">
        <f aca="false">IF(B8&lt;&gt;"",IF('Margin Calculator'!$B$11&gt;0,CEILING(E8*B8*'Margin Calculator'!$B$10/12,'Margin Calculator'!$B$11),E8*B8*'Margin Calculator'!$B$10/12),"")</f>
        <v/>
      </c>
      <c r="G8" s="28" t="str">
        <f aca="false">IF(B8&lt;&gt;"",IF(C8="",'Margin Calculator'!$B$6,C8)*B8*'Margin Calculator'!$B$9*'Margin Calculator'!$B$10/12,"")</f>
        <v/>
      </c>
      <c r="H8" s="28" t="str">
        <f aca="false">IF(B8&lt;&gt;"",'Margin Calculator'!$B$7*B8*'Margin Calculator'!$B$9*'Margin Calculator'!$B$10/12,"")</f>
        <v/>
      </c>
      <c r="I8" s="28" t="str">
        <f aca="false">IF(B8&lt;&gt;"",F8-G8-H8,"")</f>
        <v/>
      </c>
      <c r="J8" s="29" t="str">
        <f aca="false">IF(B8&lt;&gt;"",IFERROR(I8/F8,0),"")</f>
        <v/>
      </c>
      <c r="K8" s="27" t="str">
        <f aca="false">IF(B8&lt;&gt;"",IF(E8=0,"Fix hours",IF(J8&gt;='Margin Calculator'!$B$8,"Yes","No")),"")</f>
        <v/>
      </c>
    </row>
    <row r="9" customFormat="false" ht="15" hidden="false" customHeight="true" outlineLevel="0" collapsed="false">
      <c r="A9" s="30"/>
      <c r="B9" s="26"/>
      <c r="C9" s="12"/>
      <c r="D9" s="27" t="str">
        <f aca="false">IF(B9&lt;&gt;"",IF(AND(B9&gt;='Margin Calculator'!$F$6,B9&lt;='Margin Calculator'!$G$8),INDEX('Margin Calculator'!$E$6:$E$8,MATCH(B9,'Margin Calculator'!$F$6:$F$8,1)),"Out of range"),"")</f>
        <v/>
      </c>
      <c r="E9" s="28" t="str">
        <f aca="false">IF(B9&lt;&gt;"",IF(AND(B9&gt;='Margin Calculator'!$F$6,B9&lt;='Margin Calculator'!$G$8),INDEX('Margin Calculator'!$H$6:$H$8,MATCH(B9,'Margin Calculator'!$F$6:$F$8,1)),0),"")</f>
        <v/>
      </c>
      <c r="F9" s="28" t="str">
        <f aca="false">IF(B9&lt;&gt;"",IF('Margin Calculator'!$B$11&gt;0,CEILING(E9*B9*'Margin Calculator'!$B$10/12,'Margin Calculator'!$B$11),E9*B9*'Margin Calculator'!$B$10/12),"")</f>
        <v/>
      </c>
      <c r="G9" s="28" t="str">
        <f aca="false">IF(B9&lt;&gt;"",IF(C9="",'Margin Calculator'!$B$6,C9)*B9*'Margin Calculator'!$B$9*'Margin Calculator'!$B$10/12,"")</f>
        <v/>
      </c>
      <c r="H9" s="28" t="str">
        <f aca="false">IF(B9&lt;&gt;"",'Margin Calculator'!$B$7*B9*'Margin Calculator'!$B$9*'Margin Calculator'!$B$10/12,"")</f>
        <v/>
      </c>
      <c r="I9" s="28" t="str">
        <f aca="false">IF(B9&lt;&gt;"",F9-G9-H9,"")</f>
        <v/>
      </c>
      <c r="J9" s="29" t="str">
        <f aca="false">IF(B9&lt;&gt;"",IFERROR(I9/F9,0),"")</f>
        <v/>
      </c>
      <c r="K9" s="27" t="str">
        <f aca="false">IF(B9&lt;&gt;"",IF(E9=0,"Fix hours",IF(J9&gt;='Margin Calculator'!$B$8,"Yes","No")),"")</f>
        <v/>
      </c>
    </row>
    <row r="10" customFormat="false" ht="15" hidden="false" customHeight="true" outlineLevel="0" collapsed="false">
      <c r="A10" s="30"/>
      <c r="B10" s="26"/>
      <c r="C10" s="12"/>
      <c r="D10" s="27" t="str">
        <f aca="false">IF(B10&lt;&gt;"",IF(AND(B10&gt;='Margin Calculator'!$F$6,B10&lt;='Margin Calculator'!$G$8),INDEX('Margin Calculator'!$E$6:$E$8,MATCH(B10,'Margin Calculator'!$F$6:$F$8,1)),"Out of range"),"")</f>
        <v/>
      </c>
      <c r="E10" s="28" t="str">
        <f aca="false">IF(B10&lt;&gt;"",IF(AND(B10&gt;='Margin Calculator'!$F$6,B10&lt;='Margin Calculator'!$G$8),INDEX('Margin Calculator'!$H$6:$H$8,MATCH(B10,'Margin Calculator'!$F$6:$F$8,1)),0),"")</f>
        <v/>
      </c>
      <c r="F10" s="28" t="str">
        <f aca="false">IF(B10&lt;&gt;"",IF('Margin Calculator'!$B$11&gt;0,CEILING(E10*B10*'Margin Calculator'!$B$10/12,'Margin Calculator'!$B$11),E10*B10*'Margin Calculator'!$B$10/12),"")</f>
        <v/>
      </c>
      <c r="G10" s="28" t="str">
        <f aca="false">IF(B10&lt;&gt;"",IF(C10="",'Margin Calculator'!$B$6,C10)*B10*'Margin Calculator'!$B$9*'Margin Calculator'!$B$10/12,"")</f>
        <v/>
      </c>
      <c r="H10" s="28" t="str">
        <f aca="false">IF(B10&lt;&gt;"",'Margin Calculator'!$B$7*B10*'Margin Calculator'!$B$9*'Margin Calculator'!$B$10/12,"")</f>
        <v/>
      </c>
      <c r="I10" s="28" t="str">
        <f aca="false">IF(B10&lt;&gt;"",F10-G10-H10,"")</f>
        <v/>
      </c>
      <c r="J10" s="29" t="str">
        <f aca="false">IF(B10&lt;&gt;"",IFERROR(I10/F10,0),"")</f>
        <v/>
      </c>
      <c r="K10" s="27" t="str">
        <f aca="false">IF(B10&lt;&gt;"",IF(E10=0,"Fix hours",IF(J10&gt;='Margin Calculator'!$B$8,"Yes","No")),"")</f>
        <v/>
      </c>
    </row>
    <row r="11" customFormat="false" ht="15" hidden="false" customHeight="true" outlineLevel="0" collapsed="false">
      <c r="A11" s="30"/>
      <c r="B11" s="26"/>
      <c r="C11" s="12"/>
      <c r="D11" s="27" t="str">
        <f aca="false">IF(B11&lt;&gt;"",IF(AND(B11&gt;='Margin Calculator'!$F$6,B11&lt;='Margin Calculator'!$G$8),INDEX('Margin Calculator'!$E$6:$E$8,MATCH(B11,'Margin Calculator'!$F$6:$F$8,1)),"Out of range"),"")</f>
        <v/>
      </c>
      <c r="E11" s="28" t="str">
        <f aca="false">IF(B11&lt;&gt;"",IF(AND(B11&gt;='Margin Calculator'!$F$6,B11&lt;='Margin Calculator'!$G$8),INDEX('Margin Calculator'!$H$6:$H$8,MATCH(B11,'Margin Calculator'!$F$6:$F$8,1)),0),"")</f>
        <v/>
      </c>
      <c r="F11" s="28" t="str">
        <f aca="false">IF(B11&lt;&gt;"",IF('Margin Calculator'!$B$11&gt;0,CEILING(E11*B11*'Margin Calculator'!$B$10/12,'Margin Calculator'!$B$11),E11*B11*'Margin Calculator'!$B$10/12),"")</f>
        <v/>
      </c>
      <c r="G11" s="28" t="str">
        <f aca="false">IF(B11&lt;&gt;"",IF(C11="",'Margin Calculator'!$B$6,C11)*B11*'Margin Calculator'!$B$9*'Margin Calculator'!$B$10/12,"")</f>
        <v/>
      </c>
      <c r="H11" s="28" t="str">
        <f aca="false">IF(B11&lt;&gt;"",'Margin Calculator'!$B$7*B11*'Margin Calculator'!$B$9*'Margin Calculator'!$B$10/12,"")</f>
        <v/>
      </c>
      <c r="I11" s="28" t="str">
        <f aca="false">IF(B11&lt;&gt;"",F11-G11-H11,"")</f>
        <v/>
      </c>
      <c r="J11" s="29" t="str">
        <f aca="false">IF(B11&lt;&gt;"",IFERROR(I11/F11,0),"")</f>
        <v/>
      </c>
      <c r="K11" s="27" t="str">
        <f aca="false">IF(B11&lt;&gt;"",IF(E11=0,"Fix hours",IF(J11&gt;='Margin Calculator'!$B$8,"Yes","No")),"")</f>
        <v/>
      </c>
    </row>
    <row r="12" customFormat="false" ht="15" hidden="false" customHeight="true" outlineLevel="0" collapsed="false">
      <c r="A12" s="30"/>
      <c r="B12" s="26"/>
      <c r="C12" s="12"/>
      <c r="D12" s="27" t="str">
        <f aca="false">IF(B12&lt;&gt;"",IF(AND(B12&gt;='Margin Calculator'!$F$6,B12&lt;='Margin Calculator'!$G$8),INDEX('Margin Calculator'!$E$6:$E$8,MATCH(B12,'Margin Calculator'!$F$6:$F$8,1)),"Out of range"),"")</f>
        <v/>
      </c>
      <c r="E12" s="28" t="str">
        <f aca="false">IF(B12&lt;&gt;"",IF(AND(B12&gt;='Margin Calculator'!$F$6,B12&lt;='Margin Calculator'!$G$8),INDEX('Margin Calculator'!$H$6:$H$8,MATCH(B12,'Margin Calculator'!$F$6:$F$8,1)),0),"")</f>
        <v/>
      </c>
      <c r="F12" s="28" t="str">
        <f aca="false">IF(B12&lt;&gt;"",IF('Margin Calculator'!$B$11&gt;0,CEILING(E12*B12*'Margin Calculator'!$B$10/12,'Margin Calculator'!$B$11),E12*B12*'Margin Calculator'!$B$10/12),"")</f>
        <v/>
      </c>
      <c r="G12" s="28" t="str">
        <f aca="false">IF(B12&lt;&gt;"",IF(C12="",'Margin Calculator'!$B$6,C12)*B12*'Margin Calculator'!$B$9*'Margin Calculator'!$B$10/12,"")</f>
        <v/>
      </c>
      <c r="H12" s="28" t="str">
        <f aca="false">IF(B12&lt;&gt;"",'Margin Calculator'!$B$7*B12*'Margin Calculator'!$B$9*'Margin Calculator'!$B$10/12,"")</f>
        <v/>
      </c>
      <c r="I12" s="28" t="str">
        <f aca="false">IF(B12&lt;&gt;"",F12-G12-H12,"")</f>
        <v/>
      </c>
      <c r="J12" s="29" t="str">
        <f aca="false">IF(B12&lt;&gt;"",IFERROR(I12/F12,0),"")</f>
        <v/>
      </c>
      <c r="K12" s="27" t="str">
        <f aca="false">IF(B12&lt;&gt;"",IF(E12=0,"Fix hours",IF(J12&gt;='Margin Calculator'!$B$8,"Yes","No")),"")</f>
        <v/>
      </c>
    </row>
    <row r="13" customFormat="false" ht="15" hidden="false" customHeight="true" outlineLevel="0" collapsed="false">
      <c r="A13" s="30"/>
      <c r="B13" s="26"/>
      <c r="C13" s="12"/>
      <c r="D13" s="27" t="str">
        <f aca="false">IF(B13&lt;&gt;"",IF(AND(B13&gt;='Margin Calculator'!$F$6,B13&lt;='Margin Calculator'!$G$8),INDEX('Margin Calculator'!$E$6:$E$8,MATCH(B13,'Margin Calculator'!$F$6:$F$8,1)),"Out of range"),"")</f>
        <v/>
      </c>
      <c r="E13" s="28" t="str">
        <f aca="false">IF(B13&lt;&gt;"",IF(AND(B13&gt;='Margin Calculator'!$F$6,B13&lt;='Margin Calculator'!$G$8),INDEX('Margin Calculator'!$H$6:$H$8,MATCH(B13,'Margin Calculator'!$F$6:$F$8,1)),0),"")</f>
        <v/>
      </c>
      <c r="F13" s="28" t="str">
        <f aca="false">IF(B13&lt;&gt;"",IF('Margin Calculator'!$B$11&gt;0,CEILING(E13*B13*'Margin Calculator'!$B$10/12,'Margin Calculator'!$B$11),E13*B13*'Margin Calculator'!$B$10/12),"")</f>
        <v/>
      </c>
      <c r="G13" s="28" t="str">
        <f aca="false">IF(B13&lt;&gt;"",IF(C13="",'Margin Calculator'!$B$6,C13)*B13*'Margin Calculator'!$B$9*'Margin Calculator'!$B$10/12,"")</f>
        <v/>
      </c>
      <c r="H13" s="28" t="str">
        <f aca="false">IF(B13&lt;&gt;"",'Margin Calculator'!$B$7*B13*'Margin Calculator'!$B$9*'Margin Calculator'!$B$10/12,"")</f>
        <v/>
      </c>
      <c r="I13" s="28" t="str">
        <f aca="false">IF(B13&lt;&gt;"",F13-G13-H13,"")</f>
        <v/>
      </c>
      <c r="J13" s="29" t="str">
        <f aca="false">IF(B13&lt;&gt;"",IFERROR(I13/F13,0),"")</f>
        <v/>
      </c>
      <c r="K13" s="27" t="str">
        <f aca="false">IF(B13&lt;&gt;"",IF(E13=0,"Fix hours",IF(J13&gt;='Margin Calculator'!$B$8,"Yes","No")),"")</f>
        <v/>
      </c>
    </row>
    <row r="14" customFormat="false" ht="15" hidden="false" customHeight="true" outlineLevel="0" collapsed="false">
      <c r="A14" s="30"/>
      <c r="B14" s="26"/>
      <c r="C14" s="12"/>
      <c r="D14" s="27" t="str">
        <f aca="false">IF(B14&lt;&gt;"",IF(AND(B14&gt;='Margin Calculator'!$F$6,B14&lt;='Margin Calculator'!$G$8),INDEX('Margin Calculator'!$E$6:$E$8,MATCH(B14,'Margin Calculator'!$F$6:$F$8,1)),"Out of range"),"")</f>
        <v/>
      </c>
      <c r="E14" s="28" t="str">
        <f aca="false">IF(B14&lt;&gt;"",IF(AND(B14&gt;='Margin Calculator'!$F$6,B14&lt;='Margin Calculator'!$G$8),INDEX('Margin Calculator'!$H$6:$H$8,MATCH(B14,'Margin Calculator'!$F$6:$F$8,1)),0),"")</f>
        <v/>
      </c>
      <c r="F14" s="28" t="str">
        <f aca="false">IF(B14&lt;&gt;"",IF('Margin Calculator'!$B$11&gt;0,CEILING(E14*B14*'Margin Calculator'!$B$10/12,'Margin Calculator'!$B$11),E14*B14*'Margin Calculator'!$B$10/12),"")</f>
        <v/>
      </c>
      <c r="G14" s="28" t="str">
        <f aca="false">IF(B14&lt;&gt;"",IF(C14="",'Margin Calculator'!$B$6,C14)*B14*'Margin Calculator'!$B$9*'Margin Calculator'!$B$10/12,"")</f>
        <v/>
      </c>
      <c r="H14" s="28" t="str">
        <f aca="false">IF(B14&lt;&gt;"",'Margin Calculator'!$B$7*B14*'Margin Calculator'!$B$9*'Margin Calculator'!$B$10/12,"")</f>
        <v/>
      </c>
      <c r="I14" s="28" t="str">
        <f aca="false">IF(B14&lt;&gt;"",F14-G14-H14,"")</f>
        <v/>
      </c>
      <c r="J14" s="29" t="str">
        <f aca="false">IF(B14&lt;&gt;"",IFERROR(I14/F14,0),"")</f>
        <v/>
      </c>
      <c r="K14" s="27" t="str">
        <f aca="false">IF(B14&lt;&gt;"",IF(E14=0,"Fix hours",IF(J14&gt;='Margin Calculator'!$B$8,"Yes","No")),"")</f>
        <v/>
      </c>
    </row>
    <row r="15" customFormat="false" ht="15" hidden="false" customHeight="true" outlineLevel="0" collapsed="false">
      <c r="A15" s="30"/>
      <c r="B15" s="26"/>
      <c r="C15" s="12"/>
      <c r="D15" s="27" t="str">
        <f aca="false">IF(B15&lt;&gt;"",IF(AND(B15&gt;='Margin Calculator'!$F$6,B15&lt;='Margin Calculator'!$G$8),INDEX('Margin Calculator'!$E$6:$E$8,MATCH(B15,'Margin Calculator'!$F$6:$F$8,1)),"Out of range"),"")</f>
        <v/>
      </c>
      <c r="E15" s="28" t="str">
        <f aca="false">IF(B15&lt;&gt;"",IF(AND(B15&gt;='Margin Calculator'!$F$6,B15&lt;='Margin Calculator'!$G$8),INDEX('Margin Calculator'!$H$6:$H$8,MATCH(B15,'Margin Calculator'!$F$6:$F$8,1)),0),"")</f>
        <v/>
      </c>
      <c r="F15" s="28" t="str">
        <f aca="false">IF(B15&lt;&gt;"",IF('Margin Calculator'!$B$11&gt;0,CEILING(E15*B15*'Margin Calculator'!$B$10/12,'Margin Calculator'!$B$11),E15*B15*'Margin Calculator'!$B$10/12),"")</f>
        <v/>
      </c>
      <c r="G15" s="28" t="str">
        <f aca="false">IF(B15&lt;&gt;"",IF(C15="",'Margin Calculator'!$B$6,C15)*B15*'Margin Calculator'!$B$9*'Margin Calculator'!$B$10/12,"")</f>
        <v/>
      </c>
      <c r="H15" s="28" t="str">
        <f aca="false">IF(B15&lt;&gt;"",'Margin Calculator'!$B$7*B15*'Margin Calculator'!$B$9*'Margin Calculator'!$B$10/12,"")</f>
        <v/>
      </c>
      <c r="I15" s="28" t="str">
        <f aca="false">IF(B15&lt;&gt;"",F15-G15-H15,"")</f>
        <v/>
      </c>
      <c r="J15" s="29" t="str">
        <f aca="false">IF(B15&lt;&gt;"",IFERROR(I15/F15,0),"")</f>
        <v/>
      </c>
      <c r="K15" s="27" t="str">
        <f aca="false">IF(B15&lt;&gt;"",IF(E15=0,"Fix hours",IF(J15&gt;='Margin Calculator'!$B$8,"Yes","No")),"")</f>
        <v/>
      </c>
    </row>
    <row r="16" customFormat="false" ht="15" hidden="false" customHeight="true" outlineLevel="0" collapsed="false">
      <c r="A16" s="30"/>
      <c r="B16" s="26"/>
      <c r="C16" s="12"/>
      <c r="D16" s="27" t="str">
        <f aca="false">IF(B16&lt;&gt;"",IF(AND(B16&gt;='Margin Calculator'!$F$6,B16&lt;='Margin Calculator'!$G$8),INDEX('Margin Calculator'!$E$6:$E$8,MATCH(B16,'Margin Calculator'!$F$6:$F$8,1)),"Out of range"),"")</f>
        <v/>
      </c>
      <c r="E16" s="28" t="str">
        <f aca="false">IF(B16&lt;&gt;"",IF(AND(B16&gt;='Margin Calculator'!$F$6,B16&lt;='Margin Calculator'!$G$8),INDEX('Margin Calculator'!$H$6:$H$8,MATCH(B16,'Margin Calculator'!$F$6:$F$8,1)),0),"")</f>
        <v/>
      </c>
      <c r="F16" s="28" t="str">
        <f aca="false">IF(B16&lt;&gt;"",IF('Margin Calculator'!$B$11&gt;0,CEILING(E16*B16*'Margin Calculator'!$B$10/12,'Margin Calculator'!$B$11),E16*B16*'Margin Calculator'!$B$10/12),"")</f>
        <v/>
      </c>
      <c r="G16" s="28" t="str">
        <f aca="false">IF(B16&lt;&gt;"",IF(C16="",'Margin Calculator'!$B$6,C16)*B16*'Margin Calculator'!$B$9*'Margin Calculator'!$B$10/12,"")</f>
        <v/>
      </c>
      <c r="H16" s="28" t="str">
        <f aca="false">IF(B16&lt;&gt;"",'Margin Calculator'!$B$7*B16*'Margin Calculator'!$B$9*'Margin Calculator'!$B$10/12,"")</f>
        <v/>
      </c>
      <c r="I16" s="28" t="str">
        <f aca="false">IF(B16&lt;&gt;"",F16-G16-H16,"")</f>
        <v/>
      </c>
      <c r="J16" s="29" t="str">
        <f aca="false">IF(B16&lt;&gt;"",IFERROR(I16/F16,0),"")</f>
        <v/>
      </c>
      <c r="K16" s="27" t="str">
        <f aca="false">IF(B16&lt;&gt;"",IF(E16=0,"Fix hours",IF(J16&gt;='Margin Calculator'!$B$8,"Yes","No")),"")</f>
        <v/>
      </c>
    </row>
    <row r="17" customFormat="false" ht="15" hidden="false" customHeight="true" outlineLevel="0" collapsed="false">
      <c r="A17" s="30"/>
      <c r="B17" s="26"/>
      <c r="C17" s="12"/>
      <c r="D17" s="27" t="str">
        <f aca="false">IF(B17&lt;&gt;"",IF(AND(B17&gt;='Margin Calculator'!$F$6,B17&lt;='Margin Calculator'!$G$8),INDEX('Margin Calculator'!$E$6:$E$8,MATCH(B17,'Margin Calculator'!$F$6:$F$8,1)),"Out of range"),"")</f>
        <v/>
      </c>
      <c r="E17" s="28" t="str">
        <f aca="false">IF(B17&lt;&gt;"",IF(AND(B17&gt;='Margin Calculator'!$F$6,B17&lt;='Margin Calculator'!$G$8),INDEX('Margin Calculator'!$H$6:$H$8,MATCH(B17,'Margin Calculator'!$F$6:$F$8,1)),0),"")</f>
        <v/>
      </c>
      <c r="F17" s="28" t="str">
        <f aca="false">IF(B17&lt;&gt;"",IF('Margin Calculator'!$B$11&gt;0,CEILING(E17*B17*'Margin Calculator'!$B$10/12,'Margin Calculator'!$B$11),E17*B17*'Margin Calculator'!$B$10/12),"")</f>
        <v/>
      </c>
      <c r="G17" s="28" t="str">
        <f aca="false">IF(B17&lt;&gt;"",IF(C17="",'Margin Calculator'!$B$6,C17)*B17*'Margin Calculator'!$B$9*'Margin Calculator'!$B$10/12,"")</f>
        <v/>
      </c>
      <c r="H17" s="28" t="str">
        <f aca="false">IF(B17&lt;&gt;"",'Margin Calculator'!$B$7*B17*'Margin Calculator'!$B$9*'Margin Calculator'!$B$10/12,"")</f>
        <v/>
      </c>
      <c r="I17" s="28" t="str">
        <f aca="false">IF(B17&lt;&gt;"",F17-G17-H17,"")</f>
        <v/>
      </c>
      <c r="J17" s="29" t="str">
        <f aca="false">IF(B17&lt;&gt;"",IFERROR(I17/F17,0),"")</f>
        <v/>
      </c>
      <c r="K17" s="27" t="str">
        <f aca="false">IF(B17&lt;&gt;"",IF(E17=0,"Fix hours",IF(J17&gt;='Margin Calculator'!$B$8,"Yes","No")),"")</f>
        <v/>
      </c>
    </row>
    <row r="18" customFormat="false" ht="15" hidden="false" customHeight="true" outlineLevel="0" collapsed="false">
      <c r="A18" s="30"/>
      <c r="B18" s="26"/>
      <c r="C18" s="12"/>
      <c r="D18" s="27" t="str">
        <f aca="false">IF(B18&lt;&gt;"",IF(AND(B18&gt;='Margin Calculator'!$F$6,B18&lt;='Margin Calculator'!$G$8),INDEX('Margin Calculator'!$E$6:$E$8,MATCH(B18,'Margin Calculator'!$F$6:$F$8,1)),"Out of range"),"")</f>
        <v/>
      </c>
      <c r="E18" s="28" t="str">
        <f aca="false">IF(B18&lt;&gt;"",IF(AND(B18&gt;='Margin Calculator'!$F$6,B18&lt;='Margin Calculator'!$G$8),INDEX('Margin Calculator'!$H$6:$H$8,MATCH(B18,'Margin Calculator'!$F$6:$F$8,1)),0),"")</f>
        <v/>
      </c>
      <c r="F18" s="28" t="str">
        <f aca="false">IF(B18&lt;&gt;"",IF('Margin Calculator'!$B$11&gt;0,CEILING(E18*B18*'Margin Calculator'!$B$10/12,'Margin Calculator'!$B$11),E18*B18*'Margin Calculator'!$B$10/12),"")</f>
        <v/>
      </c>
      <c r="G18" s="28" t="str">
        <f aca="false">IF(B18&lt;&gt;"",IF(C18="",'Margin Calculator'!$B$6,C18)*B18*'Margin Calculator'!$B$9*'Margin Calculator'!$B$10/12,"")</f>
        <v/>
      </c>
      <c r="H18" s="28" t="str">
        <f aca="false">IF(B18&lt;&gt;"",'Margin Calculator'!$B$7*B18*'Margin Calculator'!$B$9*'Margin Calculator'!$B$10/12,"")</f>
        <v/>
      </c>
      <c r="I18" s="28" t="str">
        <f aca="false">IF(B18&lt;&gt;"",F18-G18-H18,"")</f>
        <v/>
      </c>
      <c r="J18" s="29" t="str">
        <f aca="false">IF(B18&lt;&gt;"",IFERROR(I18/F18,0),"")</f>
        <v/>
      </c>
      <c r="K18" s="27" t="str">
        <f aca="false">IF(B18&lt;&gt;"",IF(E18=0,"Fix hours",IF(J18&gt;='Margin Calculator'!$B$8,"Yes","No")),"")</f>
        <v/>
      </c>
    </row>
    <row r="19" customFormat="false" ht="15" hidden="false" customHeight="true" outlineLevel="0" collapsed="false">
      <c r="A19" s="30"/>
      <c r="B19" s="26"/>
      <c r="C19" s="12"/>
      <c r="D19" s="27" t="str">
        <f aca="false">IF(B19&lt;&gt;"",IF(AND(B19&gt;='Margin Calculator'!$F$6,B19&lt;='Margin Calculator'!$G$8),INDEX('Margin Calculator'!$E$6:$E$8,MATCH(B19,'Margin Calculator'!$F$6:$F$8,1)),"Out of range"),"")</f>
        <v/>
      </c>
      <c r="E19" s="28" t="str">
        <f aca="false">IF(B19&lt;&gt;"",IF(AND(B19&gt;='Margin Calculator'!$F$6,B19&lt;='Margin Calculator'!$G$8),INDEX('Margin Calculator'!$H$6:$H$8,MATCH(B19,'Margin Calculator'!$F$6:$F$8,1)),0),"")</f>
        <v/>
      </c>
      <c r="F19" s="28" t="str">
        <f aca="false">IF(B19&lt;&gt;"",IF('Margin Calculator'!$B$11&gt;0,CEILING(E19*B19*'Margin Calculator'!$B$10/12,'Margin Calculator'!$B$11),E19*B19*'Margin Calculator'!$B$10/12),"")</f>
        <v/>
      </c>
      <c r="G19" s="28" t="str">
        <f aca="false">IF(B19&lt;&gt;"",IF(C19="",'Margin Calculator'!$B$6,C19)*B19*'Margin Calculator'!$B$9*'Margin Calculator'!$B$10/12,"")</f>
        <v/>
      </c>
      <c r="H19" s="28" t="str">
        <f aca="false">IF(B19&lt;&gt;"",'Margin Calculator'!$B$7*B19*'Margin Calculator'!$B$9*'Margin Calculator'!$B$10/12,"")</f>
        <v/>
      </c>
      <c r="I19" s="28" t="str">
        <f aca="false">IF(B19&lt;&gt;"",F19-G19-H19,"")</f>
        <v/>
      </c>
      <c r="J19" s="29" t="str">
        <f aca="false">IF(B19&lt;&gt;"",IFERROR(I19/F19,0),"")</f>
        <v/>
      </c>
      <c r="K19" s="27" t="str">
        <f aca="false">IF(B19&lt;&gt;"",IF(E19=0,"Fix hours",IF(J19&gt;='Margin Calculator'!$B$8,"Yes","No")),"")</f>
        <v/>
      </c>
    </row>
    <row r="20" customFormat="false" ht="15" hidden="false" customHeight="true" outlineLevel="0" collapsed="false">
      <c r="A20" s="30"/>
      <c r="B20" s="26"/>
      <c r="C20" s="12"/>
      <c r="D20" s="27" t="str">
        <f aca="false">IF(B20&lt;&gt;"",IF(AND(B20&gt;='Margin Calculator'!$F$6,B20&lt;='Margin Calculator'!$G$8),INDEX('Margin Calculator'!$E$6:$E$8,MATCH(B20,'Margin Calculator'!$F$6:$F$8,1)),"Out of range"),"")</f>
        <v/>
      </c>
      <c r="E20" s="28" t="str">
        <f aca="false">IF(B20&lt;&gt;"",IF(AND(B20&gt;='Margin Calculator'!$F$6,B20&lt;='Margin Calculator'!$G$8),INDEX('Margin Calculator'!$H$6:$H$8,MATCH(B20,'Margin Calculator'!$F$6:$F$8,1)),0),"")</f>
        <v/>
      </c>
      <c r="F20" s="28" t="str">
        <f aca="false">IF(B20&lt;&gt;"",IF('Margin Calculator'!$B$11&gt;0,CEILING(E20*B20*'Margin Calculator'!$B$10/12,'Margin Calculator'!$B$11),E20*B20*'Margin Calculator'!$B$10/12),"")</f>
        <v/>
      </c>
      <c r="G20" s="28" t="str">
        <f aca="false">IF(B20&lt;&gt;"",IF(C20="",'Margin Calculator'!$B$6,C20)*B20*'Margin Calculator'!$B$9*'Margin Calculator'!$B$10/12,"")</f>
        <v/>
      </c>
      <c r="H20" s="28" t="str">
        <f aca="false">IF(B20&lt;&gt;"",'Margin Calculator'!$B$7*B20*'Margin Calculator'!$B$9*'Margin Calculator'!$B$10/12,"")</f>
        <v/>
      </c>
      <c r="I20" s="28" t="str">
        <f aca="false">IF(B20&lt;&gt;"",F20-G20-H20,"")</f>
        <v/>
      </c>
      <c r="J20" s="29" t="str">
        <f aca="false">IF(B20&lt;&gt;"",IFERROR(I20/F20,0),"")</f>
        <v/>
      </c>
      <c r="K20" s="27" t="str">
        <f aca="false">IF(B20&lt;&gt;"",IF(E20=0,"Fix hours",IF(J20&gt;='Margin Calculator'!$B$8,"Yes","No")),"")</f>
        <v/>
      </c>
    </row>
    <row r="21" customFormat="false" ht="15" hidden="false" customHeight="true" outlineLevel="0" collapsed="false">
      <c r="A21" s="30"/>
      <c r="B21" s="26"/>
      <c r="C21" s="12"/>
      <c r="D21" s="27" t="str">
        <f aca="false">IF(B21&lt;&gt;"",IF(AND(B21&gt;='Margin Calculator'!$F$6,B21&lt;='Margin Calculator'!$G$8),INDEX('Margin Calculator'!$E$6:$E$8,MATCH(B21,'Margin Calculator'!$F$6:$F$8,1)),"Out of range"),"")</f>
        <v/>
      </c>
      <c r="E21" s="28" t="str">
        <f aca="false">IF(B21&lt;&gt;"",IF(AND(B21&gt;='Margin Calculator'!$F$6,B21&lt;='Margin Calculator'!$G$8),INDEX('Margin Calculator'!$H$6:$H$8,MATCH(B21,'Margin Calculator'!$F$6:$F$8,1)),0),"")</f>
        <v/>
      </c>
      <c r="F21" s="28" t="str">
        <f aca="false">IF(B21&lt;&gt;"",IF('Margin Calculator'!$B$11&gt;0,CEILING(E21*B21*'Margin Calculator'!$B$10/12,'Margin Calculator'!$B$11),E21*B21*'Margin Calculator'!$B$10/12),"")</f>
        <v/>
      </c>
      <c r="G21" s="28" t="str">
        <f aca="false">IF(B21&lt;&gt;"",IF(C21="",'Margin Calculator'!$B$6,C21)*B21*'Margin Calculator'!$B$9*'Margin Calculator'!$B$10/12,"")</f>
        <v/>
      </c>
      <c r="H21" s="28" t="str">
        <f aca="false">IF(B21&lt;&gt;"",'Margin Calculator'!$B$7*B21*'Margin Calculator'!$B$9*'Margin Calculator'!$B$10/12,"")</f>
        <v/>
      </c>
      <c r="I21" s="28" t="str">
        <f aca="false">IF(B21&lt;&gt;"",F21-G21-H21,"")</f>
        <v/>
      </c>
      <c r="J21" s="29" t="str">
        <f aca="false">IF(B21&lt;&gt;"",IFERROR(I21/F21,0),"")</f>
        <v/>
      </c>
      <c r="K21" s="27" t="str">
        <f aca="false">IF(B21&lt;&gt;"",IF(E21=0,"Fix hours",IF(J21&gt;='Margin Calculator'!$B$8,"Yes","No")),"")</f>
        <v/>
      </c>
    </row>
    <row r="22" customFormat="false" ht="15" hidden="false" customHeight="true" outlineLevel="0" collapsed="false">
      <c r="A22" s="30"/>
      <c r="B22" s="26"/>
      <c r="C22" s="12"/>
      <c r="D22" s="27" t="str">
        <f aca="false">IF(B22&lt;&gt;"",IF(AND(B22&gt;='Margin Calculator'!$F$6,B22&lt;='Margin Calculator'!$G$8),INDEX('Margin Calculator'!$E$6:$E$8,MATCH(B22,'Margin Calculator'!$F$6:$F$8,1)),"Out of range"),"")</f>
        <v/>
      </c>
      <c r="E22" s="28" t="str">
        <f aca="false">IF(B22&lt;&gt;"",IF(AND(B22&gt;='Margin Calculator'!$F$6,B22&lt;='Margin Calculator'!$G$8),INDEX('Margin Calculator'!$H$6:$H$8,MATCH(B22,'Margin Calculator'!$F$6:$F$8,1)),0),"")</f>
        <v/>
      </c>
      <c r="F22" s="28" t="str">
        <f aca="false">IF(B22&lt;&gt;"",IF('Margin Calculator'!$B$11&gt;0,CEILING(E22*B22*'Margin Calculator'!$B$10/12,'Margin Calculator'!$B$11),E22*B22*'Margin Calculator'!$B$10/12),"")</f>
        <v/>
      </c>
      <c r="G22" s="28" t="str">
        <f aca="false">IF(B22&lt;&gt;"",IF(C22="",'Margin Calculator'!$B$6,C22)*B22*'Margin Calculator'!$B$9*'Margin Calculator'!$B$10/12,"")</f>
        <v/>
      </c>
      <c r="H22" s="28" t="str">
        <f aca="false">IF(B22&lt;&gt;"",'Margin Calculator'!$B$7*B22*'Margin Calculator'!$B$9*'Margin Calculator'!$B$10/12,"")</f>
        <v/>
      </c>
      <c r="I22" s="28" t="str">
        <f aca="false">IF(B22&lt;&gt;"",F22-G22-H22,"")</f>
        <v/>
      </c>
      <c r="J22" s="29" t="str">
        <f aca="false">IF(B22&lt;&gt;"",IFERROR(I22/F22,0),"")</f>
        <v/>
      </c>
      <c r="K22" s="27" t="str">
        <f aca="false">IF(B22&lt;&gt;"",IF(E22=0,"Fix hours",IF(J22&gt;='Margin Calculator'!$B$8,"Yes","No")),"")</f>
        <v/>
      </c>
    </row>
    <row r="23" customFormat="false" ht="15" hidden="false" customHeight="true" outlineLevel="0" collapsed="false">
      <c r="A23" s="30"/>
      <c r="B23" s="26"/>
      <c r="C23" s="12"/>
      <c r="D23" s="27" t="str">
        <f aca="false">IF(B23&lt;&gt;"",IF(AND(B23&gt;='Margin Calculator'!$F$6,B23&lt;='Margin Calculator'!$G$8),INDEX('Margin Calculator'!$E$6:$E$8,MATCH(B23,'Margin Calculator'!$F$6:$F$8,1)),"Out of range"),"")</f>
        <v/>
      </c>
      <c r="E23" s="28" t="str">
        <f aca="false">IF(B23&lt;&gt;"",IF(AND(B23&gt;='Margin Calculator'!$F$6,B23&lt;='Margin Calculator'!$G$8),INDEX('Margin Calculator'!$H$6:$H$8,MATCH(B23,'Margin Calculator'!$F$6:$F$8,1)),0),"")</f>
        <v/>
      </c>
      <c r="F23" s="28" t="str">
        <f aca="false">IF(B23&lt;&gt;"",IF('Margin Calculator'!$B$11&gt;0,CEILING(E23*B23*'Margin Calculator'!$B$10/12,'Margin Calculator'!$B$11),E23*B23*'Margin Calculator'!$B$10/12),"")</f>
        <v/>
      </c>
      <c r="G23" s="28" t="str">
        <f aca="false">IF(B23&lt;&gt;"",IF(C23="",'Margin Calculator'!$B$6,C23)*B23*'Margin Calculator'!$B$9*'Margin Calculator'!$B$10/12,"")</f>
        <v/>
      </c>
      <c r="H23" s="28" t="str">
        <f aca="false">IF(B23&lt;&gt;"",'Margin Calculator'!$B$7*B23*'Margin Calculator'!$B$9*'Margin Calculator'!$B$10/12,"")</f>
        <v/>
      </c>
      <c r="I23" s="28" t="str">
        <f aca="false">IF(B23&lt;&gt;"",F23-G23-H23,"")</f>
        <v/>
      </c>
      <c r="J23" s="29" t="str">
        <f aca="false">IF(B23&lt;&gt;"",IFERROR(I23/F23,0),"")</f>
        <v/>
      </c>
      <c r="K23" s="27" t="str">
        <f aca="false">IF(B23&lt;&gt;"",IF(E23=0,"Fix hours",IF(J23&gt;='Margin Calculator'!$B$8,"Yes","No")),"")</f>
        <v/>
      </c>
    </row>
    <row r="24" customFormat="false" ht="15" hidden="false" customHeight="true" outlineLevel="0" collapsed="false">
      <c r="A24" s="30"/>
      <c r="B24" s="26"/>
      <c r="C24" s="12"/>
      <c r="D24" s="27" t="str">
        <f aca="false">IF(B24&lt;&gt;"",IF(AND(B24&gt;='Margin Calculator'!$F$6,B24&lt;='Margin Calculator'!$G$8),INDEX('Margin Calculator'!$E$6:$E$8,MATCH(B24,'Margin Calculator'!$F$6:$F$8,1)),"Out of range"),"")</f>
        <v/>
      </c>
      <c r="E24" s="28" t="str">
        <f aca="false">IF(B24&lt;&gt;"",IF(AND(B24&gt;='Margin Calculator'!$F$6,B24&lt;='Margin Calculator'!$G$8),INDEX('Margin Calculator'!$H$6:$H$8,MATCH(B24,'Margin Calculator'!$F$6:$F$8,1)),0),"")</f>
        <v/>
      </c>
      <c r="F24" s="28" t="str">
        <f aca="false">IF(B24&lt;&gt;"",IF('Margin Calculator'!$B$11&gt;0,CEILING(E24*B24*'Margin Calculator'!$B$10/12,'Margin Calculator'!$B$11),E24*B24*'Margin Calculator'!$B$10/12),"")</f>
        <v/>
      </c>
      <c r="G24" s="28" t="str">
        <f aca="false">IF(B24&lt;&gt;"",IF(C24="",'Margin Calculator'!$B$6,C24)*B24*'Margin Calculator'!$B$9*'Margin Calculator'!$B$10/12,"")</f>
        <v/>
      </c>
      <c r="H24" s="28" t="str">
        <f aca="false">IF(B24&lt;&gt;"",'Margin Calculator'!$B$7*B24*'Margin Calculator'!$B$9*'Margin Calculator'!$B$10/12,"")</f>
        <v/>
      </c>
      <c r="I24" s="28" t="str">
        <f aca="false">IF(B24&lt;&gt;"",F24-G24-H24,"")</f>
        <v/>
      </c>
      <c r="J24" s="29" t="str">
        <f aca="false">IF(B24&lt;&gt;"",IFERROR(I24/F24,0),"")</f>
        <v/>
      </c>
      <c r="K24" s="27" t="str">
        <f aca="false">IF(B24&lt;&gt;"",IF(E24=0,"Fix hours",IF(J24&gt;='Margin Calculator'!$B$8,"Yes","No")),"")</f>
        <v/>
      </c>
    </row>
    <row r="26" customFormat="false" ht="15" hidden="false" customHeight="true" outlineLevel="0" collapsed="false">
      <c r="A26" s="31" t="s">
        <v>71</v>
      </c>
      <c r="B26" s="32" t="n">
        <f aca="false">SUM(B5:B24)</f>
        <v>0</v>
      </c>
      <c r="C26" s="33"/>
      <c r="D26" s="33"/>
      <c r="E26" s="33"/>
      <c r="F26" s="34" t="n">
        <f aca="false">SUM(F5:F24)</f>
        <v>0</v>
      </c>
      <c r="G26" s="34" t="n">
        <f aca="false">SUM(G5:G24)</f>
        <v>0</v>
      </c>
      <c r="H26" s="34" t="n">
        <f aca="false">SUM(H5:H24)</f>
        <v>0</v>
      </c>
      <c r="I26" s="34" t="n">
        <f aca="false">SUM(I5:I24)</f>
        <v>0</v>
      </c>
      <c r="J26" s="35" t="n">
        <f aca="false">IFERROR(I26/F26,0)</f>
        <v>0</v>
      </c>
      <c r="K26" s="33"/>
    </row>
    <row r="28" customFormat="false" ht="15" hidden="false" customHeight="true" outlineLevel="0" collapsed="false">
      <c r="A28" s="36" t="s">
        <v>72</v>
      </c>
      <c r="B28" s="36"/>
      <c r="C28" s="36"/>
      <c r="D28" s="37" t="n">
        <f aca="false">COUNTA(A5:A24)</f>
        <v>0</v>
      </c>
    </row>
    <row r="29" customFormat="false" ht="15" hidden="false" customHeight="true" outlineLevel="0" collapsed="false">
      <c r="A29" s="36" t="s">
        <v>73</v>
      </c>
      <c r="B29" s="36"/>
      <c r="C29" s="36"/>
      <c r="D29" s="38" t="n">
        <f aca="false">F26*12</f>
        <v>0</v>
      </c>
    </row>
    <row r="30" customFormat="false" ht="15" hidden="false" customHeight="true" outlineLevel="0" collapsed="false">
      <c r="A30" s="36" t="s">
        <v>45</v>
      </c>
      <c r="B30" s="36"/>
      <c r="C30" s="36"/>
      <c r="D30" s="38" t="n">
        <f aca="false">I26*12</f>
        <v>0</v>
      </c>
    </row>
    <row r="31" customFormat="false" ht="15" hidden="false" customHeight="true" outlineLevel="0" collapsed="false">
      <c r="A31" s="36" t="s">
        <v>74</v>
      </c>
      <c r="B31" s="36"/>
      <c r="C31" s="36"/>
      <c r="D31" s="39" t="n">
        <f aca="false">B26*'Margin Calculator'!$B$9/40</f>
        <v>0</v>
      </c>
    </row>
  </sheetData>
  <mergeCells count="6">
    <mergeCell ref="A1:K1"/>
    <mergeCell ref="A2:K2"/>
    <mergeCell ref="A28:C28"/>
    <mergeCell ref="A29:C29"/>
    <mergeCell ref="A30:C30"/>
    <mergeCell ref="A31:C31"/>
  </mergeCells>
  <conditionalFormatting sqref="K5:K24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1">
      <formula>"Fix hours"</formula>
    </cfRule>
  </conditionalFormatting>
  <conditionalFormatting sqref="D5:D24">
    <cfRule type="cellIs" priority="5" operator="equal" aboveAverage="0" equalAverage="0" bottom="0" percent="0" rank="0" text="" dxfId="1">
      <formula>"Out of range"</formula>
    </cfRule>
  </conditionalFormatting>
  <conditionalFormatting sqref="J26">
    <cfRule type="expression" priority="6" aboveAverage="0" equalAverage="0" bottom="0" percent="0" rank="0" text="" dxfId="1">
      <formula>AND($F$26&gt;0,$J$26&lt;'Margin Calculator'!$B$8)</formula>
    </cfRule>
    <cfRule type="expression" priority="7" aboveAverage="0" equalAverage="0" bottom="0" percent="0" rank="0" text="" dxfId="0">
      <formula>AND($F$26&gt;0,$J$26&gt;='Margin Calculator'!$B$8)</formula>
    </cfRule>
  </conditionalFormatting>
  <dataValidations count="1">
    <dataValidation allowBlank="false" error="Enter weekly hours between 0 and 80." errorStyle="stop" errorTitle="Check this value" operator="between" showDropDown="false" showErrorMessage="true" showInputMessage="false" sqref="B5:B24" type="decimal">
      <formula1>0</formula1>
      <formula2>80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2026-10-22T23:39:41Z</dcterms:created>
  <dc:creator>openpyxl</dc:creator>
  <dc:description/>
  <dc:language>en-US</dc:language>
  <cp:lastModifiedBy/>
  <dcterms:modified xsi:type="dcterms:W3CDTF">2026-10-23T03:49:47Z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